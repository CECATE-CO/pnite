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Controle" sheetId="2" r:id="rId6"/>
    <sheet state="visible" name="Página2" sheetId="3" r:id="rId7"/>
  </sheets>
  <definedNames/>
  <calcPr/>
</workbook>
</file>

<file path=xl/sharedStrings.xml><?xml version="1.0" encoding="utf-8"?>
<sst xmlns="http://schemas.openxmlformats.org/spreadsheetml/2006/main" count="217" uniqueCount="151">
  <si>
    <t>ARIPUANÃ</t>
  </si>
  <si>
    <t xml:space="preserve">Bom </t>
  </si>
  <si>
    <t>BRASNORTE</t>
  </si>
  <si>
    <t>CAMPO NOVO DO PARECIS</t>
  </si>
  <si>
    <t>CASTANHEIRA</t>
  </si>
  <si>
    <t>COLNIZA</t>
  </si>
  <si>
    <t>COTRIGUAÇU</t>
  </si>
  <si>
    <t>JUARA</t>
  </si>
  <si>
    <t>JUÍNA</t>
  </si>
  <si>
    <t>JURUENA</t>
  </si>
  <si>
    <t>NOVO HORIZONTE DO NORTE</t>
  </si>
  <si>
    <t>PORTO DOS GAÚCHOS</t>
  </si>
  <si>
    <t>TABAPORÃ</t>
  </si>
  <si>
    <t>NOME</t>
  </si>
  <si>
    <t>DIST(km)</t>
  </si>
  <si>
    <t>CACS-FUNDEB</t>
  </si>
  <si>
    <t>Gestão municipal</t>
  </si>
  <si>
    <t>Carimbo de data/hora</t>
  </si>
  <si>
    <t>Endereço de e-mail</t>
  </si>
  <si>
    <t>Nome Completo:</t>
  </si>
  <si>
    <t>CPF</t>
  </si>
  <si>
    <t>Data de Nascimento</t>
  </si>
  <si>
    <r>
      <rPr>
        <rFont val="Arial"/>
        <b/>
        <color theme="1"/>
      </rPr>
      <t xml:space="preserve">Telefone </t>
    </r>
    <r>
      <rPr>
        <rFont val="Arial"/>
        <color theme="1"/>
      </rPr>
      <t>(XX)XXXXX-XXXX</t>
    </r>
  </si>
  <si>
    <t>Município que representa:</t>
  </si>
  <si>
    <t>Você faz parte do:</t>
  </si>
  <si>
    <t>Que cargo você ocupa na gestão municipal?</t>
  </si>
  <si>
    <t>Prezado(a) Gestor(a), 
Se existe algum caso de sucesso da gestão do transporte escolar no seu município, gostaríamos conhecer mais um pouco ao respeito.
Por favor, relate de forma sucinta o caso de sucesso no espaço a seguir:</t>
  </si>
  <si>
    <t>Que cargo você ocupa no CACS-FUNDEB?</t>
  </si>
  <si>
    <t>leticiacsleal@gmail.com</t>
  </si>
  <si>
    <t>Letícia Caroline dos Santos Leal</t>
  </si>
  <si>
    <t>055.457.621-08</t>
  </si>
  <si>
    <t>(66)98124-8825</t>
  </si>
  <si>
    <t>Secretária</t>
  </si>
  <si>
    <t>robertdiglio@gmail.com</t>
  </si>
  <si>
    <t>Robert de Oliveira Diglio</t>
  </si>
  <si>
    <t>070.640.921-31</t>
  </si>
  <si>
    <t>(66)98140-1621</t>
  </si>
  <si>
    <t>Agente Administrativo</t>
  </si>
  <si>
    <t>nelson.c.menezes@gmail.com</t>
  </si>
  <si>
    <t>Nelson Coutinho de Menezes</t>
  </si>
  <si>
    <t>104.277.988-09</t>
  </si>
  <si>
    <t>(66)98443-1619</t>
  </si>
  <si>
    <t>Técnico em Prestação de Contas</t>
  </si>
  <si>
    <t>loroprof@hotmail.com</t>
  </si>
  <si>
    <t xml:space="preserve">Lourival Alves da Rocha </t>
  </si>
  <si>
    <t>616.935.881-53</t>
  </si>
  <si>
    <t>(66)99633-4633</t>
  </si>
  <si>
    <t>Técnico do Transcolar</t>
  </si>
  <si>
    <t xml:space="preserve">O município de Castanheira alcançou um marco importante: 100% dos alunos da rede municipal e estadual estão georreferenciados e devidamente alocados no transporte escolar que atende suas localidades. Essa conquista só foi possível graças à colaboração eficiente entre o Técnico do Transcolar, a Secretaria Municipal de Educação, os motoristas e a própria comunidade escolar.
</t>
  </si>
  <si>
    <t>ale.almeida2023@outlook.com</t>
  </si>
  <si>
    <t>Alessandra levertina Almeida de Oliveira</t>
  </si>
  <si>
    <t>858.385.271-53</t>
  </si>
  <si>
    <t>(66)98420-3658</t>
  </si>
  <si>
    <t>Presidente</t>
  </si>
  <si>
    <t>satres@edu.aripuana.mt.gov.br</t>
  </si>
  <si>
    <t>juliana yung</t>
  </si>
  <si>
    <t>035.331.941-40</t>
  </si>
  <si>
    <t>(66)99241-9900</t>
  </si>
  <si>
    <t xml:space="preserve">secretaria adjunta transporte escolar </t>
  </si>
  <si>
    <t>rakely_st@hotmail.com</t>
  </si>
  <si>
    <t>Raquel dos Santos</t>
  </si>
  <si>
    <t>045.891.661-78</t>
  </si>
  <si>
    <t>(66)98434-5016</t>
  </si>
  <si>
    <t>Técnica Administrativa Educacional - Técnica do transporte</t>
  </si>
  <si>
    <t>cacs-fundeb@colniza.mt.gov.br</t>
  </si>
  <si>
    <t xml:space="preserve">RUBENS MARQUES </t>
  </si>
  <si>
    <t>046.683.647-38</t>
  </si>
  <si>
    <t>(66)98114-7158</t>
  </si>
  <si>
    <t xml:space="preserve">PRESIDENTE </t>
  </si>
  <si>
    <t>projetos@edu.juina.mt.gov.br</t>
  </si>
  <si>
    <t>Daniella dos Santos Pimenta Sabatine</t>
  </si>
  <si>
    <t>045.606.721-30</t>
  </si>
  <si>
    <t>(66)98412-1377</t>
  </si>
  <si>
    <t>Representante dos Técnicos da Educação</t>
  </si>
  <si>
    <t>gessica.silva@edu.juina.mt.gov.br</t>
  </si>
  <si>
    <t xml:space="preserve">Géssica Santos da Silva </t>
  </si>
  <si>
    <t>063.768.491-56</t>
  </si>
  <si>
    <t>(66)99669-5642</t>
  </si>
  <si>
    <t xml:space="preserve">Prestação de Contas </t>
  </si>
  <si>
    <t>jessicamacedo218@gmail.com</t>
  </si>
  <si>
    <t>Jéssica Thailis Freitas de Macedo</t>
  </si>
  <si>
    <t>035.806.171-76</t>
  </si>
  <si>
    <t>(66)99689-9179</t>
  </si>
  <si>
    <t>Suplente, representante de pais.</t>
  </si>
  <si>
    <t>claudetecasusade@gmail.com</t>
  </si>
  <si>
    <t xml:space="preserve">Claudete Casusa de Sousa e Sousa </t>
  </si>
  <si>
    <t>000.427.951-41</t>
  </si>
  <si>
    <t>(66)99685-2919</t>
  </si>
  <si>
    <t xml:space="preserve">Professora </t>
  </si>
  <si>
    <t xml:space="preserve">Aumento da frota. Com isso facilitou para os alunos que moram mais distantes. </t>
  </si>
  <si>
    <t>93richetti@gmail.com</t>
  </si>
  <si>
    <t>Ana Caroline Richetti Martins</t>
  </si>
  <si>
    <t>CACS</t>
  </si>
  <si>
    <t>053.854.911-44</t>
  </si>
  <si>
    <t>Municípios com representante inscrito</t>
  </si>
  <si>
    <t>(65)98457-9488</t>
  </si>
  <si>
    <t>Técnico administrativo educacional</t>
  </si>
  <si>
    <t>jocelijesus@hotmail.com</t>
  </si>
  <si>
    <t>Joceli Teodoro Candido de Jesus</t>
  </si>
  <si>
    <t>877.974.451-68</t>
  </si>
  <si>
    <t>(66)98441-6839</t>
  </si>
  <si>
    <t>Pessoas Inscritas</t>
  </si>
  <si>
    <t>Secretário</t>
  </si>
  <si>
    <t>luizsanches.lsc@gmail.com</t>
  </si>
  <si>
    <t xml:space="preserve">luiz sanches carpes </t>
  </si>
  <si>
    <t>019.842.801-47</t>
  </si>
  <si>
    <t>(66)99955-5366</t>
  </si>
  <si>
    <t xml:space="preserve">coordenador de transporte escolar </t>
  </si>
  <si>
    <t>gostaria de informar, que o sistema em si funciona perfeitamente , porem gostaria de frisar que a uma falha e gostaria de sugerir uma mudança. que o sistema tivesse uma ferramenta que recebesse as matriculas direto do diário eletrônico bem como o transcolar do estado de mato grosso criado pela seduc/mt , ficando assim melhor o atendimento e gerenciamento deste sistema, temos dificuldades em manter dosi sistemas de gestão escolar dentro do município.</t>
  </si>
  <si>
    <t>maria@edu.portodosgauchos.mt.gov.br</t>
  </si>
  <si>
    <t xml:space="preserve">Maria da Conceição  de Carvalho </t>
  </si>
  <si>
    <t>005.937.051-30</t>
  </si>
  <si>
    <t>(66)99696-3740</t>
  </si>
  <si>
    <t xml:space="preserve">Presidente </t>
  </si>
  <si>
    <t>paulopfernando@hotmail.com</t>
  </si>
  <si>
    <t>PAULO FERNANDES PERES</t>
  </si>
  <si>
    <t>531.307.071-15</t>
  </si>
  <si>
    <t>(66)98124-6606</t>
  </si>
  <si>
    <t>membro do conselho Representante de Gestores</t>
  </si>
  <si>
    <t>ana.dacol@castanheira.edu.mt.gov.br</t>
  </si>
  <si>
    <t>Ana Paula de Oliveira Dacol Maria</t>
  </si>
  <si>
    <t>040.107.811-65</t>
  </si>
  <si>
    <t>(66)99710-7907</t>
  </si>
  <si>
    <t>Assessora Pedagógico</t>
  </si>
  <si>
    <t>TRANS ESCOLAR 100%</t>
  </si>
  <si>
    <t>presidente</t>
  </si>
  <si>
    <t>elisangelatorresaraujo@gmail.com</t>
  </si>
  <si>
    <t xml:space="preserve">Elisângela Torres Araújo </t>
  </si>
  <si>
    <t>571.400.901-06</t>
  </si>
  <si>
    <t>(66)99722-7878</t>
  </si>
  <si>
    <t>smec.bte-programas@brasnorte.mt.gov.br</t>
  </si>
  <si>
    <t>JULIO RODRIGUES DE OLIVEIRA</t>
  </si>
  <si>
    <t>819.754.221-04</t>
  </si>
  <si>
    <t>(66)99629-4130</t>
  </si>
  <si>
    <t>DIRETOR DE PROGRAMAS E PROJETOS</t>
  </si>
  <si>
    <t>robson.natan.leite@gmail.com</t>
  </si>
  <si>
    <t>Robson Natan Leite</t>
  </si>
  <si>
    <t>020.615.391-06</t>
  </si>
  <si>
    <t>(66)99942-1763</t>
  </si>
  <si>
    <t>Coordenador do Transcolar Rural</t>
  </si>
  <si>
    <t>rosimeire_pmcastanheira@hotmail.com</t>
  </si>
  <si>
    <t>ROSEMEIRE JACINTA DUARTE</t>
  </si>
  <si>
    <t>858.944.941-68</t>
  </si>
  <si>
    <t>(66)99639-0551</t>
  </si>
  <si>
    <t>Agente Administrativo III</t>
  </si>
  <si>
    <t>ildamirfaria@hotmail.com</t>
  </si>
  <si>
    <t>Ildamir Teixeira de Faria</t>
  </si>
  <si>
    <t>862.369.891-68</t>
  </si>
  <si>
    <t>(66)99987-2579</t>
  </si>
  <si>
    <t>Assessor de Logística - Transporte Escolar</t>
  </si>
  <si>
    <t>Não.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</si>
</sst>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</font>
    <font>
      <b/>
      <color rgb="FFFFFFFF"/>
      <name val="Arial"/>
    </font>
    <font>
      <color theme="1"/>
      <name val="Arial"/>
    </font>
    <font>
      <b/>
      <color theme="1"/>
      <name val="Arial"/>
      <scheme val="minor"/>
    </font>
    <font>
      <b/>
      <color theme="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vertical="bottom"/>
    </xf>
    <xf borderId="0" fillId="2" fontId="3" numFmtId="0" xfId="0" applyAlignment="1" applyFill="1" applyFont="1">
      <alignment vertical="bottom"/>
    </xf>
    <xf borderId="0" fillId="2" fontId="3" numFmtId="0" xfId="0" applyAlignment="1" applyFill="1" applyFont="1">
      <alignment horizontal="center" vertical="bottom"/>
    </xf>
    <xf borderId="0" fillId="3" fontId="4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1" fillId="4" fontId="4" numFmtId="0" xfId="0" applyAlignment="1" applyBorder="1" applyFill="1" applyFont="1">
      <alignment horizontal="right" vertical="bottom"/>
    </xf>
    <xf borderId="1" fillId="4" fontId="4" numFmtId="0" xfId="0" applyAlignment="1" applyBorder="1" applyFill="1" applyFont="1">
      <alignment horizontal="center" vertical="bottom"/>
    </xf>
    <xf borderId="0" fillId="0" fontId="1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1" fillId="4" fontId="6" numFmtId="0" xfId="0" applyAlignment="1" applyBorder="1" applyFill="1" applyFont="1">
      <alignment horizontal="center" vertical="bottom"/>
    </xf>
    <xf borderId="0" fillId="0" fontId="1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center" vertical="bottom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4" numFmtId="0" xfId="0" applyAlignment="1" applyFont="1">
      <alignment horizontal="right" vertical="bottom"/>
    </xf>
    <xf borderId="2" fillId="4" fontId="6" numFmtId="0" xfId="0" applyAlignment="1" applyBorder="1" applyFill="1" applyFont="1">
      <alignment horizontal="right" vertical="bottom"/>
    </xf>
    <xf borderId="3" fillId="0" fontId="7" numFmtId="0" xfId="0" applyBorder="1" applyFont="1"/>
    <xf borderId="4" fillId="0" fontId="7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5" displayName="Form_Responses" name="Form_Responses" id="1">
  <tableColumns count="11">
    <tableColumn name="Carimbo de data/hora" id="1"/>
    <tableColumn name="Endereço de e-mail" id="2"/>
    <tableColumn name="Nome Completo:" id="3"/>
    <tableColumn name="CPF" id="4"/>
    <tableColumn name="Data de Nascimento" id="5"/>
    <tableColumn name="Telefone (XX)XXXXX-XXXX" id="6"/>
    <tableColumn name="Município que representa:" id="7"/>
    <tableColumn name="Você faz parte do:" id="8"/>
    <tableColumn name="Que cargo você ocupa na gestão municipal?" id="9"/>
    <tableColumn name="Prezado(a) Gestor(a), _x000a__x000a_Se existe algum caso de sucesso da gestão do transporte escolar no seu município, gostaríamos conhecer mais um pouco ao respeito._x000a__x000a_Por favor, relate de forma sucinta o caso de sucesso no espaço a seguir:" id="10"/>
    <tableColumn name="Que cargo você ocupa no CACS-FUNDEB?" id="11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4" width="18.88"/>
    <col customWidth="1" min="5" max="5" width="20.13"/>
    <col customWidth="1" min="6" max="6" width="24.88"/>
    <col customWidth="1" min="7" max="7" width="24.13"/>
    <col customWidth="1" min="8" max="8" width="18.88"/>
    <col customWidth="1" min="9" max="9" width="37.25"/>
    <col customWidth="1" min="10" max="10" width="37.63"/>
    <col customWidth="1" min="11" max="11" width="35.63"/>
    <col customWidth="1" min="12" max="17" width="18.88"/>
  </cols>
  <sheetData>
    <row r="1" ht="22.5" customHeight="1">
      <c r="A1" s="9" t="s">
        <v>17</v>
      </c>
      <c r="B1" s="9" t="s">
        <v>18</v>
      </c>
      <c r="C1" s="10" t="s">
        <v>19</v>
      </c>
      <c r="D1" s="10" t="s">
        <v>20</v>
      </c>
      <c r="E1" s="10" t="s">
        <v>21</v>
      </c>
      <c r="F1" s="12" t="s">
        <v>22</v>
      </c>
      <c r="G1" s="10" t="s">
        <v>23</v>
      </c>
      <c r="H1" s="10" t="s">
        <v>24</v>
      </c>
      <c r="I1" s="10" t="s">
        <v>25</v>
      </c>
      <c r="J1" s="9" t="s">
        <v>26</v>
      </c>
      <c r="K1" s="10" t="s">
        <v>27</v>
      </c>
    </row>
    <row r="2" ht="22.5" customHeight="1">
      <c r="A2" s="14">
        <v>45873.4563537037</v>
      </c>
      <c r="B2" s="15" t="s">
        <v>28</v>
      </c>
      <c r="C2" s="15" t="s">
        <v>29</v>
      </c>
      <c r="D2" s="15" t="s">
        <v>30</v>
      </c>
      <c r="E2" s="16">
        <v>35150.0</v>
      </c>
      <c r="F2" s="15" t="s">
        <v>31</v>
      </c>
      <c r="G2" s="15" t="s">
        <v>0</v>
      </c>
      <c r="H2" s="15" t="s">
        <v>15</v>
      </c>
      <c r="I2" s="17"/>
      <c r="J2" s="17"/>
      <c r="K2" s="15" t="s">
        <v>32</v>
      </c>
    </row>
    <row r="3" ht="22.5" customHeight="1">
      <c r="A3" s="18">
        <v>45873.62018246528</v>
      </c>
      <c r="B3" s="19" t="s">
        <v>33</v>
      </c>
      <c r="C3" s="19" t="s">
        <v>34</v>
      </c>
      <c r="D3" s="19" t="s">
        <v>35</v>
      </c>
      <c r="E3" s="20">
        <v>38754.0</v>
      </c>
      <c r="F3" s="19" t="s">
        <v>36</v>
      </c>
      <c r="G3" s="19" t="s">
        <v>5</v>
      </c>
      <c r="H3" s="19" t="s">
        <v>16</v>
      </c>
      <c r="I3" s="19" t="s">
        <v>37</v>
      </c>
    </row>
    <row r="4" ht="22.5" customHeight="1">
      <c r="A4" s="18">
        <v>45874.43167853009</v>
      </c>
      <c r="B4" s="19" t="s">
        <v>38</v>
      </c>
      <c r="C4" s="19" t="s">
        <v>39</v>
      </c>
      <c r="D4" s="19" t="s">
        <v>40</v>
      </c>
      <c r="E4" s="20">
        <v>25081.0</v>
      </c>
      <c r="F4" s="19" t="s">
        <v>41</v>
      </c>
      <c r="G4" s="19" t="s">
        <v>9</v>
      </c>
      <c r="H4" s="19" t="s">
        <v>16</v>
      </c>
      <c r="I4" s="19" t="s">
        <v>42</v>
      </c>
    </row>
    <row r="5" ht="22.5" customHeight="1">
      <c r="A5" s="18">
        <v>45874.44248921296</v>
      </c>
      <c r="B5" s="19" t="s">
        <v>43</v>
      </c>
      <c r="C5" s="19" t="s">
        <v>44</v>
      </c>
      <c r="D5" s="19" t="s">
        <v>45</v>
      </c>
      <c r="E5" s="20">
        <v>27092.0</v>
      </c>
      <c r="F5" s="19" t="s">
        <v>46</v>
      </c>
      <c r="G5" s="19" t="s">
        <v>4</v>
      </c>
      <c r="H5" s="19" t="s">
        <v>16</v>
      </c>
      <c r="I5" s="19" t="s">
        <v>47</v>
      </c>
      <c r="J5" s="19" t="s">
        <v>48</v>
      </c>
    </row>
    <row r="6" ht="22.5" customHeight="1">
      <c r="A6" s="18">
        <v>45874.64023535879</v>
      </c>
      <c r="B6" s="19" t="s">
        <v>49</v>
      </c>
      <c r="C6" s="19" t="s">
        <v>50</v>
      </c>
      <c r="D6" s="19" t="s">
        <v>51</v>
      </c>
      <c r="E6" s="20">
        <v>28615.0</v>
      </c>
      <c r="F6" s="19" t="s">
        <v>52</v>
      </c>
      <c r="G6" s="19" t="s">
        <v>9</v>
      </c>
      <c r="H6" s="19" t="s">
        <v>15</v>
      </c>
      <c r="K6" s="19" t="s">
        <v>53</v>
      </c>
    </row>
    <row r="7" ht="22.5" customHeight="1">
      <c r="A7" s="18">
        <v>45875.44104445602</v>
      </c>
      <c r="B7" s="19" t="s">
        <v>54</v>
      </c>
      <c r="C7" s="19" t="s">
        <v>55</v>
      </c>
      <c r="D7" s="19" t="s">
        <v>56</v>
      </c>
      <c r="E7" s="20">
        <v>32665.0</v>
      </c>
      <c r="F7" s="19" t="s">
        <v>57</v>
      </c>
      <c r="G7" s="19" t="s">
        <v>0</v>
      </c>
      <c r="H7" s="19" t="s">
        <v>16</v>
      </c>
      <c r="I7" s="19" t="s">
        <v>58</v>
      </c>
    </row>
    <row r="8" ht="22.5" customHeight="1">
      <c r="A8" s="18">
        <v>45875.46322766204</v>
      </c>
      <c r="B8" s="19" t="s">
        <v>59</v>
      </c>
      <c r="C8" s="19" t="s">
        <v>60</v>
      </c>
      <c r="D8" s="19" t="s">
        <v>61</v>
      </c>
      <c r="E8" s="20">
        <v>33914.0</v>
      </c>
      <c r="F8" s="19" t="s">
        <v>62</v>
      </c>
      <c r="G8" s="19" t="s">
        <v>9</v>
      </c>
      <c r="H8" s="19" t="s">
        <v>16</v>
      </c>
      <c r="I8" s="19" t="s">
        <v>63</v>
      </c>
    </row>
    <row r="9" ht="22.5" customHeight="1">
      <c r="A9" s="18">
        <v>45875.696681747686</v>
      </c>
      <c r="B9" s="19" t="s">
        <v>64</v>
      </c>
      <c r="C9" s="19" t="s">
        <v>65</v>
      </c>
      <c r="D9" s="19" t="s">
        <v>66</v>
      </c>
      <c r="E9" s="20">
        <v>28213.0</v>
      </c>
      <c r="F9" s="19" t="s">
        <v>67</v>
      </c>
      <c r="G9" s="19" t="s">
        <v>5</v>
      </c>
      <c r="H9" s="19" t="s">
        <v>15</v>
      </c>
      <c r="K9" s="19" t="s">
        <v>68</v>
      </c>
    </row>
    <row r="10" ht="22.5" customHeight="1">
      <c r="A10" s="18">
        <v>45876.49950704861</v>
      </c>
      <c r="B10" s="19" t="s">
        <v>69</v>
      </c>
      <c r="C10" s="19" t="s">
        <v>70</v>
      </c>
      <c r="D10" s="19" t="s">
        <v>71</v>
      </c>
      <c r="E10" s="20">
        <v>34534.0</v>
      </c>
      <c r="F10" s="19" t="s">
        <v>72</v>
      </c>
      <c r="G10" s="19" t="s">
        <v>8</v>
      </c>
      <c r="H10" s="19" t="s">
        <v>15</v>
      </c>
      <c r="K10" s="19" t="s">
        <v>73</v>
      </c>
    </row>
    <row r="11" ht="22.5" customHeight="1">
      <c r="A11" s="18">
        <v>45876.59148699074</v>
      </c>
      <c r="B11" s="19" t="s">
        <v>74</v>
      </c>
      <c r="C11" s="19" t="s">
        <v>75</v>
      </c>
      <c r="D11" s="19" t="s">
        <v>76</v>
      </c>
      <c r="E11" s="20">
        <v>36582.0</v>
      </c>
      <c r="F11" s="19" t="s">
        <v>77</v>
      </c>
      <c r="G11" s="19" t="s">
        <v>8</v>
      </c>
      <c r="H11" s="19" t="s">
        <v>16</v>
      </c>
      <c r="I11" s="19" t="s">
        <v>78</v>
      </c>
    </row>
    <row r="12" ht="22.5" customHeight="1">
      <c r="A12" s="18">
        <v>45877.41581910879</v>
      </c>
      <c r="B12" s="19" t="s">
        <v>79</v>
      </c>
      <c r="C12" s="19" t="s">
        <v>80</v>
      </c>
      <c r="D12" s="19" t="s">
        <v>81</v>
      </c>
      <c r="E12" s="20">
        <v>33281.0</v>
      </c>
      <c r="F12" s="19" t="s">
        <v>82</v>
      </c>
      <c r="G12" s="19" t="s">
        <v>4</v>
      </c>
      <c r="H12" s="19" t="s">
        <v>15</v>
      </c>
      <c r="K12" s="19" t="s">
        <v>83</v>
      </c>
    </row>
    <row r="13" ht="22.5" customHeight="1">
      <c r="A13" s="18">
        <v>45877.45561039352</v>
      </c>
      <c r="B13" s="19" t="s">
        <v>84</v>
      </c>
      <c r="C13" s="19" t="s">
        <v>85</v>
      </c>
      <c r="D13" s="19" t="s">
        <v>86</v>
      </c>
      <c r="E13" s="20">
        <v>27886.0</v>
      </c>
      <c r="F13" s="19" t="s">
        <v>87</v>
      </c>
      <c r="G13" s="19" t="s">
        <v>4</v>
      </c>
      <c r="H13" s="19" t="s">
        <v>16</v>
      </c>
      <c r="I13" s="19" t="s">
        <v>88</v>
      </c>
      <c r="J13" s="19" t="s">
        <v>89</v>
      </c>
    </row>
    <row r="14" ht="22.5" customHeight="1">
      <c r="A14" s="18">
        <v>45877.45622155092</v>
      </c>
      <c r="B14" s="19" t="s">
        <v>90</v>
      </c>
      <c r="C14" s="19" t="s">
        <v>91</v>
      </c>
      <c r="D14" s="19" t="s">
        <v>93</v>
      </c>
      <c r="E14" s="20">
        <v>36627.0</v>
      </c>
      <c r="F14" s="19" t="s">
        <v>95</v>
      </c>
      <c r="G14" s="19" t="s">
        <v>6</v>
      </c>
      <c r="H14" s="19" t="s">
        <v>16</v>
      </c>
      <c r="I14" s="19" t="s">
        <v>96</v>
      </c>
    </row>
    <row r="15" ht="22.5" customHeight="1">
      <c r="A15" s="18">
        <v>45877.589101875</v>
      </c>
      <c r="B15" s="19" t="s">
        <v>97</v>
      </c>
      <c r="C15" s="19" t="s">
        <v>98</v>
      </c>
      <c r="D15" s="19" t="s">
        <v>99</v>
      </c>
      <c r="E15" s="20">
        <v>27631.0</v>
      </c>
      <c r="F15" s="19" t="s">
        <v>100</v>
      </c>
      <c r="G15" s="19" t="s">
        <v>6</v>
      </c>
      <c r="H15" s="19" t="s">
        <v>15</v>
      </c>
      <c r="K15" s="19" t="s">
        <v>102</v>
      </c>
    </row>
    <row r="16" ht="22.5" customHeight="1">
      <c r="A16" s="18">
        <v>45880.35832680555</v>
      </c>
      <c r="B16" s="19" t="s">
        <v>103</v>
      </c>
      <c r="C16" s="19" t="s">
        <v>104</v>
      </c>
      <c r="D16" s="19" t="s">
        <v>105</v>
      </c>
      <c r="E16" s="20">
        <v>32228.0</v>
      </c>
      <c r="F16" s="19" t="s">
        <v>106</v>
      </c>
      <c r="G16" s="19" t="s">
        <v>11</v>
      </c>
      <c r="H16" s="19" t="s">
        <v>16</v>
      </c>
      <c r="I16" s="19" t="s">
        <v>107</v>
      </c>
      <c r="J16" s="19" t="s">
        <v>108</v>
      </c>
    </row>
    <row r="17" ht="22.5" customHeight="1">
      <c r="A17" s="18">
        <v>45880.48231578704</v>
      </c>
      <c r="B17" s="19" t="s">
        <v>109</v>
      </c>
      <c r="C17" s="19" t="s">
        <v>110</v>
      </c>
      <c r="D17" s="19" t="s">
        <v>111</v>
      </c>
      <c r="E17" s="20">
        <v>29717.0</v>
      </c>
      <c r="F17" s="19" t="s">
        <v>112</v>
      </c>
      <c r="G17" s="19" t="s">
        <v>11</v>
      </c>
      <c r="H17" s="19" t="s">
        <v>15</v>
      </c>
      <c r="K17" s="19" t="s">
        <v>113</v>
      </c>
    </row>
    <row r="18" ht="22.5" customHeight="1">
      <c r="A18" s="18">
        <v>45880.68485561342</v>
      </c>
      <c r="B18" s="19" t="s">
        <v>114</v>
      </c>
      <c r="C18" s="19" t="s">
        <v>115</v>
      </c>
      <c r="D18" s="19" t="s">
        <v>116</v>
      </c>
      <c r="E18" s="20">
        <v>26465.0</v>
      </c>
      <c r="F18" s="19" t="s">
        <v>117</v>
      </c>
      <c r="G18" s="19" t="s">
        <v>6</v>
      </c>
      <c r="H18" s="19" t="s">
        <v>15</v>
      </c>
      <c r="K18" s="19" t="s">
        <v>118</v>
      </c>
    </row>
    <row r="19" ht="22.5" customHeight="1">
      <c r="A19" s="18">
        <v>45887.37841798611</v>
      </c>
      <c r="B19" s="19" t="s">
        <v>119</v>
      </c>
      <c r="C19" s="19" t="s">
        <v>120</v>
      </c>
      <c r="D19" s="19" t="s">
        <v>121</v>
      </c>
      <c r="E19" s="20">
        <v>45887.0</v>
      </c>
      <c r="F19" s="19" t="s">
        <v>122</v>
      </c>
      <c r="G19" s="19" t="s">
        <v>4</v>
      </c>
      <c r="H19" s="19" t="s">
        <v>16</v>
      </c>
      <c r="I19" s="19" t="s">
        <v>123</v>
      </c>
      <c r="J19" s="19" t="s">
        <v>124</v>
      </c>
    </row>
    <row r="20" ht="22.5" customHeight="1">
      <c r="A20" s="18">
        <v>45888.50525869213</v>
      </c>
      <c r="B20" s="19" t="s">
        <v>49</v>
      </c>
      <c r="C20" s="19" t="s">
        <v>50</v>
      </c>
      <c r="D20" s="19" t="s">
        <v>51</v>
      </c>
      <c r="E20" s="20">
        <v>28615.0</v>
      </c>
      <c r="F20" s="19" t="s">
        <v>52</v>
      </c>
      <c r="G20" s="19" t="s">
        <v>9</v>
      </c>
      <c r="H20" s="19" t="s">
        <v>15</v>
      </c>
      <c r="K20" s="19" t="s">
        <v>125</v>
      </c>
    </row>
    <row r="21" ht="22.5" customHeight="1">
      <c r="A21" s="18">
        <v>45888.62402930556</v>
      </c>
      <c r="B21" s="19" t="s">
        <v>126</v>
      </c>
      <c r="C21" s="19" t="s">
        <v>127</v>
      </c>
      <c r="D21" s="19" t="s">
        <v>128</v>
      </c>
      <c r="E21" s="20">
        <v>27434.0</v>
      </c>
      <c r="F21" s="19" t="s">
        <v>129</v>
      </c>
      <c r="G21" s="19" t="s">
        <v>2</v>
      </c>
      <c r="H21" s="19" t="s">
        <v>15</v>
      </c>
      <c r="K21" s="19" t="s">
        <v>53</v>
      </c>
    </row>
    <row r="22" ht="22.5" customHeight="1">
      <c r="A22" s="18">
        <v>45889.47194350694</v>
      </c>
      <c r="B22" s="19" t="s">
        <v>130</v>
      </c>
      <c r="C22" s="19" t="s">
        <v>131</v>
      </c>
      <c r="D22" s="19" t="s">
        <v>132</v>
      </c>
      <c r="E22" s="20">
        <v>29112.0</v>
      </c>
      <c r="F22" s="19" t="s">
        <v>133</v>
      </c>
      <c r="G22" s="19" t="s">
        <v>2</v>
      </c>
      <c r="H22" s="19" t="s">
        <v>16</v>
      </c>
      <c r="I22" s="19" t="s">
        <v>134</v>
      </c>
    </row>
    <row r="23" ht="22.5" customHeight="1">
      <c r="A23" s="18">
        <v>45889.47578767361</v>
      </c>
      <c r="B23" s="19" t="s">
        <v>135</v>
      </c>
      <c r="C23" s="19" t="s">
        <v>136</v>
      </c>
      <c r="D23" s="19" t="s">
        <v>137</v>
      </c>
      <c r="E23" s="20">
        <v>32764.0</v>
      </c>
      <c r="F23" s="19" t="s">
        <v>138</v>
      </c>
      <c r="G23" s="19" t="s">
        <v>2</v>
      </c>
      <c r="H23" s="19" t="s">
        <v>16</v>
      </c>
      <c r="I23" s="19" t="s">
        <v>139</v>
      </c>
    </row>
    <row r="24" ht="22.5" customHeight="1">
      <c r="A24" s="18">
        <v>45889.6341812037</v>
      </c>
      <c r="B24" s="19" t="s">
        <v>140</v>
      </c>
      <c r="C24" s="19" t="s">
        <v>141</v>
      </c>
      <c r="D24" s="19" t="s">
        <v>142</v>
      </c>
      <c r="E24" s="20">
        <v>28456.0</v>
      </c>
      <c r="F24" s="19" t="s">
        <v>143</v>
      </c>
      <c r="G24" s="19" t="s">
        <v>4</v>
      </c>
      <c r="H24" s="19" t="s">
        <v>16</v>
      </c>
      <c r="I24" s="19" t="s">
        <v>144</v>
      </c>
    </row>
    <row r="25" ht="22.5" customHeight="1">
      <c r="A25" s="18">
        <v>45890.36803114583</v>
      </c>
      <c r="B25" s="19" t="s">
        <v>145</v>
      </c>
      <c r="C25" s="19" t="s">
        <v>146</v>
      </c>
      <c r="D25" s="19" t="s">
        <v>147</v>
      </c>
      <c r="E25" s="20">
        <v>28392.0</v>
      </c>
      <c r="F25" s="19" t="s">
        <v>148</v>
      </c>
      <c r="G25" s="19" t="s">
        <v>8</v>
      </c>
      <c r="H25" s="19" t="s">
        <v>16</v>
      </c>
      <c r="I25" s="19" t="s">
        <v>149</v>
      </c>
      <c r="J25" s="19" t="s">
        <v>150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33.13"/>
  </cols>
  <sheetData>
    <row r="1">
      <c r="A1" s="2" t="s">
        <v>1</v>
      </c>
      <c r="B1" s="3" t="s">
        <v>13</v>
      </c>
      <c r="C1" s="3" t="s">
        <v>14</v>
      </c>
      <c r="D1" s="4" t="s">
        <v>15</v>
      </c>
      <c r="E1" s="4" t="s">
        <v>16</v>
      </c>
      <c r="F1" s="5"/>
      <c r="G1" s="6"/>
    </row>
    <row r="2">
      <c r="A2" s="7">
        <v>5103056.0</v>
      </c>
      <c r="B2" s="8" t="s">
        <v>0</v>
      </c>
      <c r="C2" s="7"/>
      <c r="D2" s="11">
        <f>COUNTIFS('Respostas ao formulário 1'!$H$2:$H$66,$D$1,'Respostas ao formulário 1'!$G$2:$G$66,$B2)</f>
        <v>1</v>
      </c>
      <c r="E2" s="11">
        <f>COUNTIFS('Respostas ao formulário 1'!$H$2:$H$66,$E$1,'Respostas ao formulário 1'!$G$2:$G$66,$B2)</f>
        <v>1</v>
      </c>
      <c r="F2" s="5"/>
      <c r="G2" s="13" t="str">
        <f t="shared" ref="G2:G13" si="1">CONCATENATE(D2, "/", E2)</f>
        <v>1/1</v>
      </c>
    </row>
    <row r="3">
      <c r="A3" s="7">
        <v>5103205.0</v>
      </c>
      <c r="B3" s="8" t="s">
        <v>2</v>
      </c>
      <c r="C3" s="7"/>
      <c r="D3" s="11">
        <f>COUNTIFS('Respostas ao formulário 1'!$H$2:$H$66,$D$1,'Respostas ao formulário 1'!$G$2:$G$66,$B3)</f>
        <v>1</v>
      </c>
      <c r="E3" s="11">
        <f>COUNTIFS('Respostas ao formulário 1'!$H$2:$H$66,$E$1,'Respostas ao formulário 1'!$G$2:$G$66,$B3)</f>
        <v>2</v>
      </c>
      <c r="F3" s="5"/>
      <c r="G3" s="13" t="str">
        <f t="shared" si="1"/>
        <v>1/2</v>
      </c>
    </row>
    <row r="4">
      <c r="A4" s="7">
        <v>5103700.0</v>
      </c>
      <c r="B4" s="8" t="s">
        <v>3</v>
      </c>
      <c r="C4" s="7"/>
      <c r="D4" s="11">
        <f>COUNTIFS('Respostas ao formulário 1'!$H$2:$H$66,$D$1,'Respostas ao formulário 1'!$G$2:$G$66,$B4)</f>
        <v>0</v>
      </c>
      <c r="E4" s="11">
        <f>COUNTIFS('Respostas ao formulário 1'!$H$2:$H$66,$E$1,'Respostas ao formulário 1'!$G$2:$G$66,$B4)</f>
        <v>0</v>
      </c>
      <c r="F4" s="5"/>
      <c r="G4" s="13" t="str">
        <f t="shared" si="1"/>
        <v>0/0</v>
      </c>
    </row>
    <row r="5">
      <c r="A5" s="7">
        <v>5104104.0</v>
      </c>
      <c r="B5" s="8" t="s">
        <v>4</v>
      </c>
      <c r="C5" s="7"/>
      <c r="D5" s="11">
        <f>COUNTIFS('Respostas ao formulário 1'!$H$2:$H$66,$D$1,'Respostas ao formulário 1'!$G$2:$G$66,$B5)</f>
        <v>1</v>
      </c>
      <c r="E5" s="11">
        <f>COUNTIFS('Respostas ao formulário 1'!$H$2:$H$66,$E$1,'Respostas ao formulário 1'!$G$2:$G$66,$B5)</f>
        <v>4</v>
      </c>
      <c r="F5" s="5"/>
      <c r="G5" s="13" t="str">
        <f t="shared" si="1"/>
        <v>1/4</v>
      </c>
    </row>
    <row r="6">
      <c r="A6" s="7">
        <v>5104526.0</v>
      </c>
      <c r="B6" s="8" t="s">
        <v>5</v>
      </c>
      <c r="C6" s="7"/>
      <c r="D6" s="11">
        <f>COUNTIFS('Respostas ao formulário 1'!$H$2:$H$66,$D$1,'Respostas ao formulário 1'!$G$2:$G$66,$B6)</f>
        <v>1</v>
      </c>
      <c r="E6" s="11">
        <f>COUNTIFS('Respostas ao formulário 1'!$H$2:$H$66,$E$1,'Respostas ao formulário 1'!$G$2:$G$66,$B6)</f>
        <v>1</v>
      </c>
      <c r="F6" s="5"/>
      <c r="G6" s="13" t="str">
        <f t="shared" si="1"/>
        <v>1/1</v>
      </c>
    </row>
    <row r="7">
      <c r="A7" s="7">
        <v>5104542.0</v>
      </c>
      <c r="B7" s="8" t="s">
        <v>6</v>
      </c>
      <c r="C7" s="7"/>
      <c r="D7" s="11">
        <f>COUNTIFS('Respostas ao formulário 1'!$H$2:$H$66,$D$1,'Respostas ao formulário 1'!$G$2:$G$66,$B7)</f>
        <v>2</v>
      </c>
      <c r="E7" s="11">
        <f>COUNTIFS('Respostas ao formulário 1'!$H$2:$H$66,$E$1,'Respostas ao formulário 1'!$G$2:$G$66,$B7)</f>
        <v>1</v>
      </c>
      <c r="F7" s="5"/>
      <c r="G7" s="13" t="str">
        <f t="shared" si="1"/>
        <v>2/1</v>
      </c>
    </row>
    <row r="8">
      <c r="A8" s="7">
        <v>5104559.0</v>
      </c>
      <c r="B8" s="8" t="s">
        <v>7</v>
      </c>
      <c r="C8" s="7"/>
      <c r="D8" s="11">
        <f>COUNTIFS('Respostas ao formulário 1'!$H$2:$H$66,$D$1,'Respostas ao formulário 1'!$G$2:$G$66,$B8)</f>
        <v>0</v>
      </c>
      <c r="E8" s="11">
        <f>COUNTIFS('Respostas ao formulário 1'!$H$2:$H$66,$E$1,'Respostas ao formulário 1'!$G$2:$G$66,$B8)</f>
        <v>0</v>
      </c>
      <c r="F8" s="5"/>
      <c r="G8" s="13" t="str">
        <f t="shared" si="1"/>
        <v>0/0</v>
      </c>
    </row>
    <row r="9">
      <c r="A9" s="7">
        <v>5105259.0</v>
      </c>
      <c r="B9" s="8" t="s">
        <v>8</v>
      </c>
      <c r="C9" s="7"/>
      <c r="D9" s="11">
        <f>COUNTIFS('Respostas ao formulário 1'!$H$2:$H$66,$D$1,'Respostas ao formulário 1'!$G$2:$G$66,$B9)</f>
        <v>1</v>
      </c>
      <c r="E9" s="11">
        <f>COUNTIFS('Respostas ao formulário 1'!$H$2:$H$66,$E$1,'Respostas ao formulário 1'!$G$2:$G$66,$B9)</f>
        <v>2</v>
      </c>
      <c r="F9" s="5"/>
      <c r="G9" s="13" t="str">
        <f t="shared" si="1"/>
        <v>1/2</v>
      </c>
    </row>
    <row r="10">
      <c r="A10" s="7">
        <v>5105580.0</v>
      </c>
      <c r="B10" s="8" t="s">
        <v>9</v>
      </c>
      <c r="C10" s="7"/>
      <c r="D10" s="11">
        <f>COUNTIFS('Respostas ao formulário 1'!$H$2:$H$66,$D$1,'Respostas ao formulário 1'!$G$2:$G$66,$B10)</f>
        <v>2</v>
      </c>
      <c r="E10" s="11">
        <f>COUNTIFS('Respostas ao formulário 1'!$H$2:$H$66,$E$1,'Respostas ao formulário 1'!$G$2:$G$66,$B10)</f>
        <v>2</v>
      </c>
      <c r="F10" s="5"/>
      <c r="G10" s="13" t="str">
        <f t="shared" si="1"/>
        <v>2/2</v>
      </c>
    </row>
    <row r="11">
      <c r="A11" s="7">
        <v>5105606.0</v>
      </c>
      <c r="B11" s="8" t="s">
        <v>10</v>
      </c>
      <c r="C11" s="7"/>
      <c r="D11" s="11">
        <f>COUNTIFS('Respostas ao formulário 1'!$H$2:$H$66,$D$1,'Respostas ao formulário 1'!$G$2:$G$66,$B11)</f>
        <v>0</v>
      </c>
      <c r="E11" s="11">
        <f>COUNTIFS('Respostas ao formulário 1'!$H$2:$H$66,$E$1,'Respostas ao formulário 1'!$G$2:$G$66,$B11)</f>
        <v>0</v>
      </c>
      <c r="F11" s="5"/>
      <c r="G11" s="13" t="str">
        <f t="shared" si="1"/>
        <v>0/0</v>
      </c>
    </row>
    <row r="12">
      <c r="A12" s="7">
        <v>5108808.0</v>
      </c>
      <c r="B12" s="8" t="s">
        <v>11</v>
      </c>
      <c r="C12" s="7"/>
      <c r="D12" s="11">
        <f>COUNTIFS('Respostas ao formulário 1'!$H$2:$H$66,$D$1,'Respostas ao formulário 1'!$G$2:$G$66,$B12)</f>
        <v>1</v>
      </c>
      <c r="E12" s="11">
        <f>COUNTIFS('Respostas ao formulário 1'!$H$2:$H$66,$E$1,'Respostas ao formulário 1'!$G$2:$G$66,$B12)</f>
        <v>1</v>
      </c>
      <c r="F12" s="5"/>
      <c r="G12" s="13" t="str">
        <f t="shared" si="1"/>
        <v>1/1</v>
      </c>
    </row>
    <row r="13">
      <c r="A13" s="7">
        <v>5108907.0</v>
      </c>
      <c r="B13" s="8" t="s">
        <v>12</v>
      </c>
      <c r="C13" s="7"/>
      <c r="D13" s="11">
        <f>COUNTIFS('Respostas ao formulário 1'!$H$2:$H$66,$D$1,'Respostas ao formulário 1'!$G$2:$G$66,$B13)</f>
        <v>0</v>
      </c>
      <c r="E13" s="11">
        <f>COUNTIFS('Respostas ao formulário 1'!$H$2:$H$66,$E$1,'Respostas ao formulário 1'!$G$2:$G$66,$B13)</f>
        <v>0</v>
      </c>
      <c r="F13" s="5"/>
      <c r="G13" s="13" t="str">
        <f t="shared" si="1"/>
        <v>0/0</v>
      </c>
    </row>
    <row r="14">
      <c r="A14" s="5"/>
      <c r="B14" s="5"/>
      <c r="C14" s="5"/>
      <c r="D14" s="5"/>
      <c r="E14" s="5"/>
      <c r="F14" s="5"/>
      <c r="G14" s="13"/>
    </row>
    <row r="15">
      <c r="A15" s="5"/>
      <c r="B15" s="5"/>
      <c r="C15" s="5"/>
      <c r="D15" s="5"/>
      <c r="E15" s="5"/>
      <c r="F15" s="5"/>
      <c r="G15" s="21"/>
    </row>
    <row r="16">
      <c r="A16" s="5"/>
      <c r="B16" s="5"/>
      <c r="C16" s="5"/>
      <c r="D16" s="2" t="s">
        <v>92</v>
      </c>
      <c r="E16" s="2" t="s">
        <v>16</v>
      </c>
      <c r="F16" s="5"/>
      <c r="G16" s="6"/>
    </row>
    <row r="17">
      <c r="A17" s="22" t="s">
        <v>94</v>
      </c>
      <c r="B17" s="23"/>
      <c r="C17" s="24"/>
      <c r="D17" s="8">
        <f t="shared" ref="D17:E17" si="2">COUNTIF(D2:D13,"&gt;0")</f>
        <v>8</v>
      </c>
      <c r="E17" s="8">
        <f t="shared" si="2"/>
        <v>8</v>
      </c>
      <c r="F17" s="5"/>
      <c r="G17" s="6"/>
    </row>
    <row r="18">
      <c r="A18" s="22" t="s">
        <v>101</v>
      </c>
      <c r="B18" s="23"/>
      <c r="C18" s="24"/>
      <c r="D18" s="8">
        <f t="shared" ref="D18:E18" si="3">SUM(D2:D13)</f>
        <v>10</v>
      </c>
      <c r="E18" s="8">
        <f t="shared" si="3"/>
        <v>14</v>
      </c>
      <c r="F18" s="5"/>
      <c r="G18" s="6"/>
    </row>
    <row r="19">
      <c r="A19" s="6"/>
      <c r="B19" s="6"/>
      <c r="C19" s="6"/>
      <c r="D19" s="6"/>
      <c r="E19" s="6"/>
      <c r="F19" s="6"/>
      <c r="G19" s="6"/>
    </row>
  </sheetData>
  <mergeCells count="2">
    <mergeCell ref="A17:C17"/>
    <mergeCell ref="A18:C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</cols>
  <sheetData>
    <row r="1">
      <c r="A1" s="1" t="s">
        <v>0</v>
      </c>
    </row>
    <row r="2">
      <c r="A2" s="1" t="s">
        <v>2</v>
      </c>
    </row>
    <row r="3">
      <c r="A3" s="1" t="s">
        <v>3</v>
      </c>
    </row>
    <row r="4">
      <c r="A4" s="1" t="s">
        <v>4</v>
      </c>
    </row>
    <row r="5">
      <c r="A5" s="1" t="s">
        <v>5</v>
      </c>
    </row>
    <row r="6">
      <c r="A6" s="1" t="s">
        <v>6</v>
      </c>
    </row>
    <row r="7">
      <c r="A7" s="1" t="s">
        <v>7</v>
      </c>
    </row>
    <row r="8">
      <c r="A8" s="1" t="s">
        <v>8</v>
      </c>
    </row>
    <row r="9">
      <c r="A9" s="1" t="s">
        <v>9</v>
      </c>
    </row>
    <row r="10">
      <c r="A10" s="1" t="s">
        <v>10</v>
      </c>
    </row>
    <row r="11">
      <c r="A11" s="1" t="s">
        <v>11</v>
      </c>
    </row>
    <row r="12">
      <c r="A12" s="1" t="s">
        <v>12</v>
      </c>
    </row>
  </sheetData>
  <drawing r:id="rId1"/>
</worksheet>
</file>