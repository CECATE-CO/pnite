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<sst xmlns="http://schemas.openxmlformats.org/spreadsheetml/2006/main" count="321" uniqueCount="181">
  <si>
    <t>Carimbo de data/hora</t>
  </si>
  <si>
    <t>Endereço de e-mail</t>
  </si>
  <si>
    <t>Nome Completo:</t>
  </si>
  <si>
    <t>CPF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</si>
  <si>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</si>
  <si>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</si>
  <si>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</si>
  <si>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</si>
  <si>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</si>
  <si>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</si>
  <si>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</si>
  <si>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</si>
  <si>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####</t>
  </si>
  <si>
    <t>Data de Nascimento 2</t>
  </si>
  <si>
    <t>Telefone (XX)XXXXX-XXXX 2</t>
  </si>
  <si>
    <t>Telefone (XX)XXXXX-XXXX</t>
  </si>
  <si>
    <t>Município que representa: 2</t>
  </si>
  <si>
    <t>Você faz parte do: 2</t>
  </si>
  <si>
    <t>markusfrazao@outlook.com</t>
  </si>
  <si>
    <t>Markus Vinicius Ortiz Frazão</t>
  </si>
  <si>
    <t>070.893.191-05</t>
  </si>
  <si>
    <t>Não</t>
  </si>
  <si>
    <t>(67)99110-9710</t>
  </si>
  <si>
    <t xml:space="preserve">Anastácio </t>
  </si>
  <si>
    <t xml:space="preserve">Gestão municipal </t>
  </si>
  <si>
    <t>franzwillians@gmail.com</t>
  </si>
  <si>
    <t>Coordenador municipal transporte escolar</t>
  </si>
  <si>
    <t>FRANZ WILLIANS COIMBRA MARTINS</t>
  </si>
  <si>
    <t>851.073.361-91</t>
  </si>
  <si>
    <t>(67)99337-0272</t>
  </si>
  <si>
    <t>Cassilândia</t>
  </si>
  <si>
    <t>Gestão municipal</t>
  </si>
  <si>
    <t>GERENTE DE FISCALIZAÇÃO DO TRANSPORTE ESCOLAR</t>
  </si>
  <si>
    <t>amarilha2078@gmail.com</t>
  </si>
  <si>
    <t>Odenir Amarilha Rodrigues</t>
  </si>
  <si>
    <t>843.649.551-91</t>
  </si>
  <si>
    <t>(67)99808-5232</t>
  </si>
  <si>
    <t>Porto Murtinho</t>
  </si>
  <si>
    <t>CACS-FUNDEB</t>
  </si>
  <si>
    <t>Presidente</t>
  </si>
  <si>
    <t>fabiofonseca90@hotmail.com</t>
  </si>
  <si>
    <t xml:space="preserve">Fabio Fonseca </t>
  </si>
  <si>
    <t>901.399.681-72</t>
  </si>
  <si>
    <t>(67)99825-7335</t>
  </si>
  <si>
    <t>Nioaque</t>
  </si>
  <si>
    <t xml:space="preserve">Coordenador de Transporte </t>
  </si>
  <si>
    <t xml:space="preserve">Rastreamento de veículos </t>
  </si>
  <si>
    <t>nelsoncasimiro@yahoo.com.br</t>
  </si>
  <si>
    <t>Nelson Aparecido Silva Casimiro</t>
  </si>
  <si>
    <t>935.138.791-72</t>
  </si>
  <si>
    <t>(67)99857-0036</t>
  </si>
  <si>
    <t>Secretário</t>
  </si>
  <si>
    <t>eravanelle@gmail.com</t>
  </si>
  <si>
    <t xml:space="preserve">Eraldo Juarez de Souza </t>
  </si>
  <si>
    <t>312.015.551-91</t>
  </si>
  <si>
    <t>(67)99971-6292</t>
  </si>
  <si>
    <t>Bodoquena</t>
  </si>
  <si>
    <t>Presidente do Conselho</t>
  </si>
  <si>
    <t>gawame@gmail.com</t>
  </si>
  <si>
    <t xml:space="preserve">Gabriel Wanderley de Mendonça </t>
  </si>
  <si>
    <t>000.596.861-54</t>
  </si>
  <si>
    <t>(67)98104-4997</t>
  </si>
  <si>
    <t>Assessor Escolar</t>
  </si>
  <si>
    <t>Sim, houve mudança com o Assessor do Transporte Esxolar.</t>
  </si>
  <si>
    <t>renata_m_freitas@hotmail.com</t>
  </si>
  <si>
    <t xml:space="preserve">Renata Martins de Freitas </t>
  </si>
  <si>
    <t>608.952.841-20</t>
  </si>
  <si>
    <t>(67)98127-6810</t>
  </si>
  <si>
    <t>Assessora de gabinete</t>
  </si>
  <si>
    <t>wandersonspindula@hotmail.com</t>
  </si>
  <si>
    <t>Wanderson Spindula</t>
  </si>
  <si>
    <t>832.050.551-87</t>
  </si>
  <si>
    <t>(67)99647-1349</t>
  </si>
  <si>
    <t>Bela Vista</t>
  </si>
  <si>
    <t>Assistente Administrativo</t>
  </si>
  <si>
    <t>marasheila.santosms@gmail.com</t>
  </si>
  <si>
    <t xml:space="preserve">Sheila Mara Nunes Dos Santos </t>
  </si>
  <si>
    <t>710.831.621-87</t>
  </si>
  <si>
    <t>(67)98481-9700</t>
  </si>
  <si>
    <t>Conselhereira</t>
  </si>
  <si>
    <t>educamir@gmail.com</t>
  </si>
  <si>
    <t>Tayna Duarte Oliveira Gloder</t>
  </si>
  <si>
    <t>019.426.871-33</t>
  </si>
  <si>
    <t>(67)99203-3075</t>
  </si>
  <si>
    <t>Miranda</t>
  </si>
  <si>
    <t>Prestação de Contas do Transporte Escolar</t>
  </si>
  <si>
    <t>romeugoulart@gmail.com</t>
  </si>
  <si>
    <t>Romeu Goulart da Silva</t>
  </si>
  <si>
    <t>312.097.501-04</t>
  </si>
  <si>
    <t>(67)98129-2310</t>
  </si>
  <si>
    <t>Escriturário</t>
  </si>
  <si>
    <t>sem comentários</t>
  </si>
  <si>
    <t>Fernando Alves dos Santos</t>
  </si>
  <si>
    <t>003.855.311-25</t>
  </si>
  <si>
    <t>(67)99669-5191</t>
  </si>
  <si>
    <t>Coordenador de Frota do Transporte Escolar</t>
  </si>
  <si>
    <t>Adna Lima Nabor Biserra</t>
  </si>
  <si>
    <t>956.369.861-49</t>
  </si>
  <si>
    <t>(67)99672-3648</t>
  </si>
  <si>
    <t>Representante de pais de alunos da Educação Básica Pública</t>
  </si>
  <si>
    <t>claudianaacosta@hotmail.com</t>
  </si>
  <si>
    <t>claudiana maciel acosta</t>
  </si>
  <si>
    <t>821.612.161-04</t>
  </si>
  <si>
    <t>(67)99632-1618</t>
  </si>
  <si>
    <t>Guia Lopes da Laguna</t>
  </si>
  <si>
    <t>Diretora transporte escolar</t>
  </si>
  <si>
    <t>vitorialanaycorrea@gmail.com</t>
  </si>
  <si>
    <t>Vitória Lanay Corrêa Arguelho</t>
  </si>
  <si>
    <t>076.481.931-32</t>
  </si>
  <si>
    <t>(67)98172-7537</t>
  </si>
  <si>
    <t xml:space="preserve">Assessor especial </t>
  </si>
  <si>
    <t>marcio.ciomar45@gmail.com</t>
  </si>
  <si>
    <t xml:space="preserve">Márcio de Souza </t>
  </si>
  <si>
    <t>562.422.391-91</t>
  </si>
  <si>
    <t>(67)99676-6118</t>
  </si>
  <si>
    <t xml:space="preserve">Gerente de transporte escolar </t>
  </si>
  <si>
    <t>Resolvermos os problemas de forma ágil!</t>
  </si>
  <si>
    <t>andreabertolamelo@gmail.com</t>
  </si>
  <si>
    <t>Andréa Melo Bertola</t>
  </si>
  <si>
    <t>932.776.791-87</t>
  </si>
  <si>
    <t>(67)99870-1341</t>
  </si>
  <si>
    <t>Jardim</t>
  </si>
  <si>
    <t>Diretor de Departamento Transporte Escolar</t>
  </si>
  <si>
    <t>vanilso.scardin26@gmail.com</t>
  </si>
  <si>
    <t>Vanilso Scardin</t>
  </si>
  <si>
    <t>995.645.051-00</t>
  </si>
  <si>
    <t>(67)99676-1498</t>
  </si>
  <si>
    <t xml:space="preserve">Conselheiro </t>
  </si>
  <si>
    <t>coordenacaopedagogica6ao9@hotmail.com</t>
  </si>
  <si>
    <t>ELIZANGELA CORREA ARRUDA DOS SANTOS</t>
  </si>
  <si>
    <t>928.427.041-34</t>
  </si>
  <si>
    <t>(67)99239-3021</t>
  </si>
  <si>
    <t>PRESIDENTE DO FUNDEB</t>
  </si>
  <si>
    <t>cidafonseca_jardim@hotmail.com</t>
  </si>
  <si>
    <t>APARECIDA DE ARAUJO FONSECA MUNHOZ</t>
  </si>
  <si>
    <t>357.587.911-72</t>
  </si>
  <si>
    <t>(67)99619-0083</t>
  </si>
  <si>
    <t>DIRETORA DEPARTAMENTO DE CONVÊNIOS E COMPRAS</t>
  </si>
  <si>
    <t>arlete.garrido044@hotmail.com</t>
  </si>
  <si>
    <t>Arlete Alves de Almeida</t>
  </si>
  <si>
    <t>608.476.461-49</t>
  </si>
  <si>
    <t>(67)99987-1497</t>
  </si>
  <si>
    <t>Secretária Executiva da Educação/Transporte Escolar</t>
  </si>
  <si>
    <t>educantoniojoao@gmail.com</t>
  </si>
  <si>
    <t>Giovani Leandro Vareiro</t>
  </si>
  <si>
    <t>037.879.321-78</t>
  </si>
  <si>
    <t>(67)99979-0728</t>
  </si>
  <si>
    <t>Antônio João</t>
  </si>
  <si>
    <t xml:space="preserve">Técnico da secretaria de educação </t>
  </si>
  <si>
    <t>marciocarlosbarbosa@gmail.com</t>
  </si>
  <si>
    <t>Marcio Carlos Barbosa</t>
  </si>
  <si>
    <t>833.360.281-91</t>
  </si>
  <si>
    <t>(67)99932-8755</t>
  </si>
  <si>
    <t>Gerente de Divisão de Transporte Escolar</t>
  </si>
  <si>
    <t>GIOVANI LEANDRO VAREIRO</t>
  </si>
  <si>
    <t>Sim</t>
  </si>
  <si>
    <t>denize_rivers@hotmail.com</t>
  </si>
  <si>
    <t>Denize Aparecida Pereira Rios Araujo</t>
  </si>
  <si>
    <t>506.194.891-20</t>
  </si>
  <si>
    <t>(67)99933-4387</t>
  </si>
  <si>
    <t>Agente administrativo</t>
  </si>
  <si>
    <t xml:space="preserve">Marcio Carlos Barbosa </t>
  </si>
  <si>
    <t>arlete.garrido044@gmail.com</t>
  </si>
  <si>
    <t xml:space="preserve">Arlete Alves de Almeida </t>
  </si>
  <si>
    <t xml:space="preserve">Franz Willians Coimbra Martins </t>
  </si>
  <si>
    <t>Gabriel Wanderley de Mendonça</t>
  </si>
  <si>
    <t>Claudiana Maciel Acosta</t>
  </si>
  <si>
    <t>adelaide.89801@edutec.sed.ms.gov.br</t>
  </si>
  <si>
    <t xml:space="preserve">Adelaide Aparecida Vasques Monteiro Rios </t>
  </si>
  <si>
    <t>609.094.981-72</t>
  </si>
  <si>
    <t>(67)99627-6693</t>
  </si>
  <si>
    <t xml:space="preserve">CACs Fundeb </t>
  </si>
  <si>
    <t>Presidente CACS Fundeb</t>
  </si>
  <si>
    <t xml:space="preserve">Andréa Melo Bertola </t>
  </si>
  <si>
    <t>Aparecida de Araújo Fonseca Munhoz</t>
  </si>
  <si>
    <t>taynagloder@gmail.com</t>
  </si>
  <si>
    <t>Tayná Duarte Oliveira Gloder</t>
  </si>
  <si>
    <t>adnalimanabor@gmail.com</t>
  </si>
  <si>
    <t xml:space="preserve">Adna Lima Nabôr Biserra </t>
  </si>
  <si>
    <t xml:space="preserve">Marcio de souza </t>
  </si>
  <si>
    <t xml:space="preserve">Odenir Amarilha Rodrigues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</si>
</sst>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5" displayName="Form_Responses1" name="Form_Responses1" id="1">
  <tableColumns count="17">
    <tableColumn name="Carimbo de data/hora" id="1"/>
    <tableColumn name="Endereço de e-mail" id="2"/>
    <tableColumn name="Nome Completo:" id="3"/>
    <tableColumn name="CPF" id="4"/>
    <tableColumn name="Você já está inscrito no Curso de Capacitação em Transporte Escolar?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####" id="13"/>
    <tableColumn name="Data de Nascimento 2" id="14"/>
    <tableColumn name="Telefone (XX)XXXXX-XXXX 2" id="15"/>
    <tableColumn name="Município que representa: 2" id="16"/>
    <tableColumn name="Você faz parte do: 2" id="17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K24" displayName="Tabela_1" name="Tabela_1" id="2">
  <tableColumns count="11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37.63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19.0"/>
    <col customWidth="1" min="14" max="1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4" t="s">
        <v>12</v>
      </c>
      <c r="N1" s="1" t="s">
        <v>13</v>
      </c>
      <c r="O1" s="1" t="s">
        <v>14</v>
      </c>
      <c r="P1" s="1" t="s">
        <v>16</v>
      </c>
      <c r="Q1" s="1" t="s">
        <v>17</v>
      </c>
    </row>
    <row r="2" ht="22.5" customHeight="1">
      <c r="A2" s="5">
        <v>45806.3949550463</v>
      </c>
      <c r="B2" s="6" t="s">
        <v>18</v>
      </c>
      <c r="C2" s="6" t="s">
        <v>19</v>
      </c>
      <c r="D2" s="6" t="s">
        <v>20</v>
      </c>
      <c r="E2" s="6" t="s">
        <v>21</v>
      </c>
      <c r="F2" s="7">
        <v>35883.0</v>
      </c>
      <c r="G2" s="6" t="s">
        <v>22</v>
      </c>
      <c r="H2" s="6" t="s">
        <v>23</v>
      </c>
      <c r="I2" s="6" t="s">
        <v>24</v>
      </c>
      <c r="J2" s="6" t="s">
        <v>26</v>
      </c>
      <c r="K2" s="9"/>
      <c r="L2" s="9"/>
      <c r="M2" s="6" t="s">
        <v>12</v>
      </c>
      <c r="N2" s="11">
        <f>IF(E2="Sim",VLOOKUP(D2,Tabela_1[[#ALL],[CPF]:[Que cargo você ocupa no CACS-FUNDEB?]],2,FALSE),F2)</f>
        <v>35883</v>
      </c>
      <c r="O2" s="9" t="str">
        <f>IF(E2="Sim",VLOOKUP(D2,Tabela_1[[#ALL],[CPF]:[Que cargo você ocupa no CACS-FUNDEB?]],3,FALSE),G2)</f>
        <v>(67)99110-9710</v>
      </c>
      <c r="P2" s="9" t="str">
        <f>IF(E2="Sim",VLOOKUP(D2,Tabela_1[[#ALL],[CPF]:[Que cargo você ocupa no CACS-FUNDEB?]],4,FALSE),H2)</f>
        <v>Anastácio </v>
      </c>
      <c r="Q2" s="9" t="str">
        <f>IF(E2="Sim",VLOOKUP(D2,Tabela_1[[#ALL],[CPF]:[Que cargo você ocupa no CACS-FUNDEB?]],5,FALSE),I2)</f>
        <v>Gestão municipal </v>
      </c>
    </row>
    <row r="3" ht="22.5" customHeight="1">
      <c r="A3" s="5">
        <v>45806.38528416667</v>
      </c>
      <c r="B3" s="6" t="s">
        <v>143</v>
      </c>
      <c r="C3" s="6" t="s">
        <v>154</v>
      </c>
      <c r="D3" s="6" t="s">
        <v>145</v>
      </c>
      <c r="E3" s="6" t="s">
        <v>155</v>
      </c>
      <c r="F3" s="9"/>
      <c r="G3" s="9"/>
      <c r="H3" s="9"/>
      <c r="I3" s="9"/>
      <c r="J3" s="9"/>
      <c r="K3" s="9"/>
      <c r="L3" s="9"/>
      <c r="M3" s="6" t="s">
        <v>12</v>
      </c>
      <c r="N3" s="10">
        <f>IF(E3="Sim",VLOOKUP(D3,Tabela_1[[#ALL],[CPF]:[Que cargo você ocupa no CACS-FUNDEB?]],2,FALSE),F3)</f>
        <v>36609</v>
      </c>
      <c r="O3" s="9" t="str">
        <f>IF(E3="Sim",VLOOKUP(D3,Tabela_1[[#ALL],[CPF]:[Que cargo você ocupa no CACS-FUNDEB?]],3,FALSE),G3)</f>
        <v>(67)99979-0728</v>
      </c>
      <c r="P3" s="9" t="str">
        <f>IF(E3="Sim",VLOOKUP(D3,Tabela_1[[#ALL],[CPF]:[Que cargo você ocupa no CACS-FUNDEB?]],4,FALSE),H3)</f>
        <v>Antônio João</v>
      </c>
      <c r="Q3" s="9" t="str">
        <f>IF(E3="Sim",VLOOKUP(D3,Tabela_1[[#ALL],[CPF]:[Que cargo você ocupa no CACS-FUNDEB?]],5,FALSE),I3)</f>
        <v>Gestão municipal</v>
      </c>
    </row>
    <row r="4" ht="22.5" customHeight="1">
      <c r="A4" s="5">
        <v>45806.38632631944</v>
      </c>
      <c r="B4" s="6" t="s">
        <v>156</v>
      </c>
      <c r="C4" s="6" t="s">
        <v>157</v>
      </c>
      <c r="D4" s="6" t="s">
        <v>158</v>
      </c>
      <c r="E4" s="6" t="s">
        <v>21</v>
      </c>
      <c r="F4" s="12">
        <v>26606.0</v>
      </c>
      <c r="G4" s="6" t="s">
        <v>159</v>
      </c>
      <c r="H4" s="6" t="s">
        <v>147</v>
      </c>
      <c r="I4" s="6" t="s">
        <v>31</v>
      </c>
      <c r="J4" s="6" t="s">
        <v>160</v>
      </c>
      <c r="K4" s="9"/>
      <c r="L4" s="9"/>
      <c r="M4" s="6" t="s">
        <v>12</v>
      </c>
      <c r="N4" s="10">
        <f>IF(E4="Sim",VLOOKUP(D4,Tabela_1[[#ALL],[CPF]:[Que cargo você ocupa no CACS-FUNDEB?]],2,FALSE),F4)</f>
        <v>26606</v>
      </c>
      <c r="O4" s="9" t="str">
        <f>IF(E4="Sim",VLOOKUP(D4,Tabela_1[[#ALL],[CPF]:[Que cargo você ocupa no CACS-FUNDEB?]],3,FALSE),G4)</f>
        <v>(67)99933-4387</v>
      </c>
      <c r="P4" s="9" t="str">
        <f>IF(E4="Sim",VLOOKUP(D4,Tabela_1[[#ALL],[CPF]:[Que cargo você ocupa no CACS-FUNDEB?]],4,FALSE),H4)</f>
        <v>Antônio João</v>
      </c>
      <c r="Q4" s="9" t="str">
        <f>IF(E4="Sim",VLOOKUP(D4,Tabela_1[[#ALL],[CPF]:[Que cargo você ocupa no CACS-FUNDEB?]],5,FALSE),I4)</f>
        <v>Gestão municipal</v>
      </c>
    </row>
    <row r="5" ht="22.5" customHeight="1">
      <c r="A5" s="13">
        <v>45806.40881569445</v>
      </c>
      <c r="B5" s="14" t="s">
        <v>75</v>
      </c>
      <c r="C5" s="14" t="s">
        <v>76</v>
      </c>
      <c r="D5" s="14" t="s">
        <v>77</v>
      </c>
      <c r="E5" s="14" t="s">
        <v>155</v>
      </c>
      <c r="M5" s="6" t="s">
        <v>12</v>
      </c>
      <c r="N5" s="10">
        <f>IF(E5="Sim",VLOOKUP(D5,Tabela_1[[#ALL],[CPF]:[Que cargo você ocupa no CACS-FUNDEB?]],2,FALSE),F5)</f>
        <v>28809</v>
      </c>
      <c r="O5" s="9" t="str">
        <f>IF(E5="Sim",VLOOKUP(D5,Tabela_1[[#ALL],[CPF]:[Que cargo você ocupa no CACS-FUNDEB?]],3,FALSE),G5)</f>
        <v>(67)98481-9700</v>
      </c>
      <c r="P5" s="9" t="str">
        <f>IF(E5="Sim",VLOOKUP(D5,Tabela_1[[#ALL],[CPF]:[Que cargo você ocupa no CACS-FUNDEB?]],4,FALSE),H5)</f>
        <v>Bela Vista</v>
      </c>
      <c r="Q5" s="9" t="str">
        <f>IF(E5="Sim",VLOOKUP(D5,Tabela_1[[#ALL],[CPF]:[Que cargo você ocupa no CACS-FUNDEB?]],5,FALSE),I5)</f>
        <v>CACS-FUNDEB</v>
      </c>
    </row>
    <row r="6" ht="22.5" customHeight="1">
      <c r="A6" s="13">
        <v>45806.40985578704</v>
      </c>
      <c r="B6" s="14" t="s">
        <v>69</v>
      </c>
      <c r="C6" s="14" t="s">
        <v>70</v>
      </c>
      <c r="D6" s="14" t="s">
        <v>71</v>
      </c>
      <c r="E6" s="14" t="s">
        <v>155</v>
      </c>
      <c r="M6" s="6" t="s">
        <v>12</v>
      </c>
      <c r="N6" s="10">
        <f>IF(E6="Sim",VLOOKUP(D6,Tabela_1[[#ALL],[CPF]:[Que cargo você ocupa no CACS-FUNDEB?]],2,FALSE),F6)</f>
        <v>28554</v>
      </c>
      <c r="O6" s="9" t="str">
        <f>IF(E6="Sim",VLOOKUP(D6,Tabela_1[[#ALL],[CPF]:[Que cargo você ocupa no CACS-FUNDEB?]],3,FALSE),G6)</f>
        <v>(67)99647-1349</v>
      </c>
      <c r="P6" s="15" t="str">
        <f>IF(E6="Sim",VLOOKUP(D6,Tabela_1[[#ALL],[CPF]:[Que cargo você ocupa no CACS-FUNDEB?]],4,FALSE),H6)</f>
        <v>Bela Vista</v>
      </c>
      <c r="Q6" s="9" t="str">
        <f>IF(E6="Sim",VLOOKUP(D6,Tabela_1[[#ALL],[CPF]:[Que cargo você ocupa no CACS-FUNDEB?]],5,FALSE),I6)</f>
        <v>Gestão municipal</v>
      </c>
    </row>
    <row r="7" ht="22.5" customHeight="1">
      <c r="A7" s="13">
        <v>45806.40558209491</v>
      </c>
      <c r="B7" s="14" t="s">
        <v>149</v>
      </c>
      <c r="C7" s="14" t="s">
        <v>161</v>
      </c>
      <c r="D7" s="14" t="s">
        <v>151</v>
      </c>
      <c r="E7" s="14" t="s">
        <v>155</v>
      </c>
      <c r="M7" s="6" t="s">
        <v>12</v>
      </c>
      <c r="N7" s="10">
        <f>IF(E7="Sim",VLOOKUP(D7,Tabela_1[[#ALL],[CPF]:[Que cargo você ocupa no CACS-FUNDEB?]],2,FALSE),F7)</f>
        <v>28422</v>
      </c>
      <c r="O7" s="9" t="str">
        <f>IF(E7="Sim",VLOOKUP(D7,Tabela_1[[#ALL],[CPF]:[Que cargo você ocupa no CACS-FUNDEB?]],3,FALSE),G7)</f>
        <v>(67)99932-8755</v>
      </c>
      <c r="P7" s="9" t="str">
        <f>IF(E7="Sim",VLOOKUP(D7,Tabela_1[[#ALL],[CPF]:[Que cargo você ocupa no CACS-FUNDEB?]],4,FALSE),H7)</f>
        <v>Bodoquena</v>
      </c>
      <c r="Q7" s="9" t="str">
        <f>IF(E7="Sim",VLOOKUP(D7,Tabela_1[[#ALL],[CPF]:[Que cargo você ocupa no CACS-FUNDEB?]],5,FALSE),I7)</f>
        <v>Gestão municipal</v>
      </c>
    </row>
    <row r="8" ht="22.5" customHeight="1">
      <c r="A8" s="13">
        <v>45806.40590774306</v>
      </c>
      <c r="B8" s="14" t="s">
        <v>162</v>
      </c>
      <c r="C8" s="14" t="s">
        <v>163</v>
      </c>
      <c r="D8" s="14" t="s">
        <v>140</v>
      </c>
      <c r="E8" s="14" t="s">
        <v>155</v>
      </c>
      <c r="M8" s="6" t="s">
        <v>12</v>
      </c>
      <c r="N8" s="10">
        <f>IF(E8="Sim",VLOOKUP(D8,Tabela_1[[#ALL],[CPF]:[Que cargo você ocupa no CACS-FUNDEB?]],2,FALSE),F8)</f>
        <v>26326</v>
      </c>
      <c r="O8" s="9" t="str">
        <f>IF(E8="Sim",VLOOKUP(D8,Tabela_1[[#ALL],[CPF]:[Que cargo você ocupa no CACS-FUNDEB?]],3,FALSE),G8)</f>
        <v>(67)99987-1497</v>
      </c>
      <c r="P8" s="9" t="str">
        <f>IF(E8="Sim",VLOOKUP(D8,Tabela_1[[#ALL],[CPF]:[Que cargo você ocupa no CACS-FUNDEB?]],4,FALSE),H8)</f>
        <v>Bodoquena</v>
      </c>
      <c r="Q8" s="9" t="str">
        <f>IF(E8="Sim",VLOOKUP(D8,Tabela_1[[#ALL],[CPF]:[Que cargo você ocupa no CACS-FUNDEB?]],5,FALSE),I8)</f>
        <v>Gestão municipal</v>
      </c>
    </row>
    <row r="9" ht="22.5" customHeight="1">
      <c r="A9" s="13">
        <v>45806.69099457176</v>
      </c>
      <c r="B9" s="14" t="s">
        <v>123</v>
      </c>
      <c r="C9" s="14" t="s">
        <v>124</v>
      </c>
      <c r="D9" s="14" t="s">
        <v>125</v>
      </c>
      <c r="E9" s="14" t="s">
        <v>155</v>
      </c>
      <c r="N9" s="16">
        <f>IF(E9="Sim",VLOOKUP(D9,Tabela_1[[#ALL],[CPF]:[Que cargo você ocupa no CACS-FUNDEB?]],2,FALSE),F9)</f>
        <v>30738</v>
      </c>
      <c r="O9" s="15" t="str">
        <f>IF(E9="Sim",VLOOKUP(D9,Tabela_1[[#ALL],[CPF]:[Que cargo você ocupa no CACS-FUNDEB?]],3,FALSE),G9)</f>
        <v>(67)99676-1498</v>
      </c>
      <c r="P9" s="15" t="str">
        <f>IF(E9="Sim",VLOOKUP(D9,Tabela_1[[#ALL],[CPF]:[Que cargo você ocupa no CACS-FUNDEB?]],4,FALSE),H9)</f>
        <v>Bodoquena</v>
      </c>
      <c r="Q9" s="15" t="str">
        <f>IF(E9="Sim",VLOOKUP(D9,Tabela_1[[#ALL],[CPF]:[Que cargo você ocupa no CACS-FUNDEB?]],5,FALSE),I9)</f>
        <v>CACS-FUNDEB</v>
      </c>
    </row>
    <row r="10" ht="22.5" customHeight="1">
      <c r="A10" s="13">
        <v>45806.69147311343</v>
      </c>
      <c r="B10" s="14" t="s">
        <v>52</v>
      </c>
      <c r="C10" s="14" t="s">
        <v>53</v>
      </c>
      <c r="D10" s="14" t="s">
        <v>54</v>
      </c>
      <c r="E10" s="14" t="s">
        <v>155</v>
      </c>
      <c r="N10" s="16">
        <f>IF(E10="Sim",VLOOKUP(D10,Tabela_1[[#ALL],[CPF]:[Que cargo você ocupa no CACS-FUNDEB?]],2,FALSE),F10)</f>
        <v>23409</v>
      </c>
      <c r="O10" s="15" t="str">
        <f>IF(E10="Sim",VLOOKUP(D10,Tabela_1[[#ALL],[CPF]:[Que cargo você ocupa no CACS-FUNDEB?]],3,FALSE),G10)</f>
        <v>(67)99971-6292</v>
      </c>
      <c r="P10" s="15" t="str">
        <f>IF(E10="Sim",VLOOKUP(D10,Tabela_1[[#ALL],[CPF]:[Que cargo você ocupa no CACS-FUNDEB?]],4,FALSE),H10)</f>
        <v>Bodoquena</v>
      </c>
      <c r="Q10" s="15" t="str">
        <f>IF(E10="Sim",VLOOKUP(D10,Tabela_1[[#ALL],[CPF]:[Que cargo você ocupa no CACS-FUNDEB?]],5,FALSE),I10)</f>
        <v>CACS-FUNDEB</v>
      </c>
    </row>
    <row r="11" ht="22.5" customHeight="1">
      <c r="A11" s="13">
        <v>45806.40435440972</v>
      </c>
      <c r="B11" s="14" t="s">
        <v>25</v>
      </c>
      <c r="C11" s="14" t="s">
        <v>164</v>
      </c>
      <c r="D11" s="14" t="s">
        <v>28</v>
      </c>
      <c r="E11" s="14" t="s">
        <v>155</v>
      </c>
      <c r="M11" s="6" t="s">
        <v>12</v>
      </c>
      <c r="N11" s="10">
        <f>IF(E11="Sim",VLOOKUP(D11,Tabela_1[[#ALL],[CPF]:[Que cargo você ocupa no CACS-FUNDEB?]],2,FALSE),F11)</f>
        <v>28648</v>
      </c>
      <c r="O11" s="9" t="str">
        <f>IF(E11="Sim",VLOOKUP(D11,Tabela_1[[#ALL],[CPF]:[Que cargo você ocupa no CACS-FUNDEB?]],3,FALSE),G11)</f>
        <v>(67)99337-0272</v>
      </c>
      <c r="P11" s="9" t="str">
        <f>IF(E11="Sim",VLOOKUP(D11,Tabela_1[[#ALL],[CPF]:[Que cargo você ocupa no CACS-FUNDEB?]],4,FALSE),H11)</f>
        <v>Cassilândia</v>
      </c>
      <c r="Q11" s="9" t="str">
        <f>IF(E11="Sim",VLOOKUP(D11,Tabela_1[[#ALL],[CPF]:[Que cargo você ocupa no CACS-FUNDEB?]],5,FALSE),I11)</f>
        <v>Gestão municipal</v>
      </c>
    </row>
    <row r="12" ht="22.5" customHeight="1">
      <c r="A12" s="13">
        <v>45806.404478958335</v>
      </c>
      <c r="B12" s="14" t="s">
        <v>86</v>
      </c>
      <c r="C12" s="14" t="s">
        <v>87</v>
      </c>
      <c r="D12" s="14" t="s">
        <v>88</v>
      </c>
      <c r="E12" s="14" t="s">
        <v>155</v>
      </c>
      <c r="M12" s="6" t="s">
        <v>12</v>
      </c>
      <c r="N12" s="10">
        <f>IF(E12="Sim",VLOOKUP(D12,Tabela_1[[#ALL],[CPF]:[Que cargo você ocupa no CACS-FUNDEB?]],2,FALSE),F12)</f>
        <v>22943</v>
      </c>
      <c r="O12" s="9" t="str">
        <f>IF(E12="Sim",VLOOKUP(D12,Tabela_1[[#ALL],[CPF]:[Que cargo você ocupa no CACS-FUNDEB?]],3,FALSE),G12)</f>
        <v>(67)98129-2310</v>
      </c>
      <c r="P12" s="9" t="str">
        <f>IF(E12="Sim",VLOOKUP(D12,Tabela_1[[#ALL],[CPF]:[Que cargo você ocupa no CACS-FUNDEB?]],4,FALSE),H12)</f>
        <v>Cassilândia</v>
      </c>
      <c r="Q12" s="9" t="str">
        <f>IF(E12="Sim",VLOOKUP(D12,Tabela_1[[#ALL],[CPF]:[Que cargo você ocupa no CACS-FUNDEB?]],5,FALSE),I12)</f>
        <v>Gestão municipal</v>
      </c>
    </row>
    <row r="13" ht="22.5" customHeight="1">
      <c r="A13" s="13">
        <v>45806.40497369213</v>
      </c>
      <c r="B13" s="14" t="s">
        <v>64</v>
      </c>
      <c r="C13" s="14" t="s">
        <v>65</v>
      </c>
      <c r="D13" s="14" t="s">
        <v>66</v>
      </c>
      <c r="E13" s="14" t="s">
        <v>155</v>
      </c>
      <c r="M13" s="6" t="s">
        <v>12</v>
      </c>
      <c r="N13" s="10">
        <f>IF(E13="Sim",VLOOKUP(D13,Tabela_1[[#ALL],[CPF]:[Que cargo você ocupa no CACS-FUNDEB?]],2,FALSE),F13)</f>
        <v>27361</v>
      </c>
      <c r="O13" s="9" t="str">
        <f>IF(E13="Sim",VLOOKUP(D13,Tabela_1[[#ALL],[CPF]:[Que cargo você ocupa no CACS-FUNDEB?]],3,FALSE),G13)</f>
        <v>(67)98127-6810</v>
      </c>
      <c r="P13" s="9" t="str">
        <f>IF(E13="Sim",VLOOKUP(D13,Tabela_1[[#ALL],[CPF]:[Que cargo você ocupa no CACS-FUNDEB?]],4,FALSE),H13)</f>
        <v>Cassilândia</v>
      </c>
      <c r="Q13" s="9" t="str">
        <f>IF(E13="Sim",VLOOKUP(D13,Tabela_1[[#ALL],[CPF]:[Que cargo você ocupa no CACS-FUNDEB?]],5,FALSE),I13)</f>
        <v>Gestão municipal</v>
      </c>
    </row>
    <row r="14" ht="22.5" customHeight="1">
      <c r="A14" s="13">
        <v>45806.40857290509</v>
      </c>
      <c r="B14" s="14" t="s">
        <v>58</v>
      </c>
      <c r="C14" s="14" t="s">
        <v>165</v>
      </c>
      <c r="D14" s="14" t="s">
        <v>60</v>
      </c>
      <c r="E14" s="14" t="s">
        <v>155</v>
      </c>
      <c r="M14" s="6" t="s">
        <v>12</v>
      </c>
      <c r="N14" s="10">
        <f>IF(E14="Sim",VLOOKUP(D14,Tabela_1[[#ALL],[CPF]:[Que cargo você ocupa no CACS-FUNDEB?]],2,FALSE),F14)</f>
        <v>30385</v>
      </c>
      <c r="O14" s="9" t="str">
        <f>IF(E14="Sim",VLOOKUP(D14,Tabela_1[[#ALL],[CPF]:[Que cargo você ocupa no CACS-FUNDEB?]],3,FALSE),G14)</f>
        <v>(67)98104-4997</v>
      </c>
      <c r="P14" s="9" t="str">
        <f>IF(E14="Sim",VLOOKUP(D14,Tabela_1[[#ALL],[CPF]:[Que cargo você ocupa no CACS-FUNDEB?]],4,FALSE),H14)</f>
        <v>Cassilândia</v>
      </c>
      <c r="Q14" s="9" t="str">
        <f>IF(E14="Sim",VLOOKUP(D14,Tabela_1[[#ALL],[CPF]:[Que cargo você ocupa no CACS-FUNDEB?]],5,FALSE),I14)</f>
        <v>Gestão municipal</v>
      </c>
    </row>
    <row r="15" ht="22.5" customHeight="1">
      <c r="A15" s="5">
        <v>45806.401669224535</v>
      </c>
      <c r="B15" s="6" t="s">
        <v>100</v>
      </c>
      <c r="C15" s="6" t="s">
        <v>166</v>
      </c>
      <c r="D15" s="6" t="s">
        <v>102</v>
      </c>
      <c r="E15" s="6" t="s">
        <v>155</v>
      </c>
      <c r="F15" s="9"/>
      <c r="G15" s="9"/>
      <c r="H15" s="9"/>
      <c r="I15" s="9"/>
      <c r="J15" s="9"/>
      <c r="K15" s="9"/>
      <c r="L15" s="9"/>
      <c r="M15" s="6" t="s">
        <v>12</v>
      </c>
      <c r="N15" s="10">
        <f>IF(E15="Sim",VLOOKUP(D15,Tabela_1[[#ALL],[CPF]:[Que cargo você ocupa no CACS-FUNDEB?]],2,FALSE),F15)</f>
        <v>27638</v>
      </c>
      <c r="O15" s="9" t="str">
        <f>IF(E15="Sim",VLOOKUP(D15,Tabela_1[[#ALL],[CPF]:[Que cargo você ocupa no CACS-FUNDEB?]],3,FALSE),G15)</f>
        <v>(67)99632-1618</v>
      </c>
      <c r="P15" s="9" t="str">
        <f>IF(E15="Sim",VLOOKUP(D15,Tabela_1[[#ALL],[CPF]:[Que cargo você ocupa no CACS-FUNDEB?]],4,FALSE),H15)</f>
        <v>Guia Lopes da Laguna</v>
      </c>
      <c r="Q15" s="9" t="str">
        <f>IF(E15="Sim",VLOOKUP(D15,Tabela_1[[#ALL],[CPF]:[Que cargo você ocupa no CACS-FUNDEB?]],5,FALSE),I15)</f>
        <v>Gestão municipal</v>
      </c>
    </row>
    <row r="16" ht="22.5" customHeight="1">
      <c r="A16" s="5">
        <v>45806.40181490741</v>
      </c>
      <c r="B16" s="6" t="s">
        <v>106</v>
      </c>
      <c r="C16" s="6" t="s">
        <v>107</v>
      </c>
      <c r="D16" s="6" t="s">
        <v>108</v>
      </c>
      <c r="E16" s="6" t="s">
        <v>155</v>
      </c>
      <c r="F16" s="9"/>
      <c r="G16" s="9"/>
      <c r="H16" s="9"/>
      <c r="I16" s="9"/>
      <c r="J16" s="9"/>
      <c r="K16" s="9"/>
      <c r="L16" s="9"/>
      <c r="M16" s="6" t="s">
        <v>12</v>
      </c>
      <c r="N16" s="10">
        <f>IF(E16="Sim",VLOOKUP(D16,Tabela_1[[#ALL],[CPF]:[Que cargo você ocupa no CACS-FUNDEB?]],2,FALSE),F16)</f>
        <v>38393</v>
      </c>
      <c r="O16" s="9" t="str">
        <f>IF(E16="Sim",VLOOKUP(D16,Tabela_1[[#ALL],[CPF]:[Que cargo você ocupa no CACS-FUNDEB?]],3,FALSE),G16)</f>
        <v>(67)98172-7537</v>
      </c>
      <c r="P16" s="9" t="str">
        <f>IF(E16="Sim",VLOOKUP(D16,Tabela_1[[#ALL],[CPF]:[Que cargo você ocupa no CACS-FUNDEB?]],4,FALSE),H16)</f>
        <v>Guia Lopes da Laguna</v>
      </c>
      <c r="Q16" s="9" t="str">
        <f>IF(E16="Sim",VLOOKUP(D16,Tabela_1[[#ALL],[CPF]:[Que cargo você ocupa no CACS-FUNDEB?]],5,FALSE),I16)</f>
        <v>Gestão municipal</v>
      </c>
    </row>
    <row r="17" ht="22.5" customHeight="1">
      <c r="A17" s="5">
        <v>45806.401797592596</v>
      </c>
      <c r="B17" s="6" t="s">
        <v>167</v>
      </c>
      <c r="C17" s="6" t="s">
        <v>168</v>
      </c>
      <c r="D17" s="6" t="s">
        <v>169</v>
      </c>
      <c r="E17" s="6" t="s">
        <v>21</v>
      </c>
      <c r="F17" s="7">
        <v>26351.0</v>
      </c>
      <c r="G17" s="6" t="s">
        <v>170</v>
      </c>
      <c r="H17" s="6" t="s">
        <v>121</v>
      </c>
      <c r="I17" s="6" t="s">
        <v>171</v>
      </c>
      <c r="J17" s="6" t="s">
        <v>172</v>
      </c>
      <c r="K17" s="9"/>
      <c r="L17" s="9"/>
      <c r="M17" s="6" t="s">
        <v>12</v>
      </c>
      <c r="N17" s="11">
        <f>IF(E17="Sim",VLOOKUP(D17,Tabela_1[[#ALL],[CPF]:[Que cargo você ocupa no CACS-FUNDEB?]],2,FALSE),F17)</f>
        <v>26351</v>
      </c>
      <c r="O17" s="9" t="str">
        <f>IF(E17="Sim",VLOOKUP(D17,Tabela_1[[#ALL],[CPF]:[Que cargo você ocupa no CACS-FUNDEB?]],3,FALSE),G17)</f>
        <v>(67)99627-6693</v>
      </c>
      <c r="P17" s="9" t="str">
        <f>IF(E17="Sim",VLOOKUP(D17,Tabela_1[[#ALL],[CPF]:[Que cargo você ocupa no CACS-FUNDEB?]],4,FALSE),H17)</f>
        <v>Jardim</v>
      </c>
      <c r="Q17" s="9" t="str">
        <f>IF(E17="Sim",VLOOKUP(D17,Tabela_1[[#ALL],[CPF]:[Que cargo você ocupa no CACS-FUNDEB?]],5,FALSE),I17)</f>
        <v>CACs Fundeb </v>
      </c>
    </row>
    <row r="18" ht="22.5" customHeight="1">
      <c r="A18" s="13">
        <v>45806.41073398148</v>
      </c>
      <c r="B18" s="14" t="s">
        <v>117</v>
      </c>
      <c r="C18" s="14" t="s">
        <v>173</v>
      </c>
      <c r="D18" s="14" t="s">
        <v>119</v>
      </c>
      <c r="E18" s="14" t="s">
        <v>155</v>
      </c>
      <c r="N18" s="10">
        <f>IF(E18="Sim",VLOOKUP(D18,Tabela_1[[#ALL],[CPF]:[Que cargo você ocupa no CACS-FUNDEB?]],2,FALSE),F18)</f>
        <v>29441</v>
      </c>
      <c r="O18" s="15" t="str">
        <f>IF(E18="Sim",VLOOKUP(D18,Tabela_1[[#ALL],[CPF]:[Que cargo você ocupa no CACS-FUNDEB?]],3,FALSE),G18)</f>
        <v>(67)99870-1341</v>
      </c>
      <c r="P18" s="15" t="str">
        <f>IF(E18="Sim",VLOOKUP(D18,Tabela_1[[#ALL],[CPF]:[Que cargo você ocupa no CACS-FUNDEB?]],4,FALSE),H18)</f>
        <v>Jardim</v>
      </c>
      <c r="Q18" s="9" t="str">
        <f>IF(E18="Sim",VLOOKUP(D18,Tabela_1[[#ALL],[CPF]:[Que cargo você ocupa no CACS-FUNDEB?]],5,FALSE),I18)</f>
        <v>Gestão municipal</v>
      </c>
    </row>
    <row r="19" ht="22.5" customHeight="1">
      <c r="A19" s="13">
        <v>45806.41179993056</v>
      </c>
      <c r="B19" s="14" t="s">
        <v>133</v>
      </c>
      <c r="C19" s="14" t="s">
        <v>174</v>
      </c>
      <c r="D19" s="14" t="s">
        <v>135</v>
      </c>
      <c r="E19" s="14" t="s">
        <v>155</v>
      </c>
      <c r="N19" s="10">
        <f>IF(E19="Sim",VLOOKUP(D19,Tabela_1[[#ALL],[CPF]:[Que cargo você ocupa no CACS-FUNDEB?]],2,FALSE),F19)</f>
        <v>23308</v>
      </c>
      <c r="O19" s="15" t="str">
        <f>IF(E19="Sim",VLOOKUP(D19,Tabela_1[[#ALL],[CPF]:[Que cargo você ocupa no CACS-FUNDEB?]],3,FALSE),G19)</f>
        <v>(67)99619-0083</v>
      </c>
      <c r="P19" s="15" t="str">
        <f>IF(E19="Sim",VLOOKUP(D19,Tabela_1[[#ALL],[CPF]:[Que cargo você ocupa no CACS-FUNDEB?]],4,FALSE),H19)</f>
        <v>Jardim</v>
      </c>
      <c r="Q19" s="9" t="str">
        <f>IF(E19="Sim",VLOOKUP(D19,Tabela_1[[#ALL],[CPF]:[Que cargo você ocupa no CACS-FUNDEB?]],5,FALSE),I19)</f>
        <v>Gestão municipal</v>
      </c>
    </row>
    <row r="20" ht="22.5" customHeight="1">
      <c r="A20" s="13">
        <v>45806.40635038195</v>
      </c>
      <c r="B20" s="14" t="s">
        <v>175</v>
      </c>
      <c r="C20" s="14" t="s">
        <v>176</v>
      </c>
      <c r="D20" s="14" t="s">
        <v>82</v>
      </c>
      <c r="E20" s="14" t="s">
        <v>155</v>
      </c>
      <c r="M20" s="6" t="s">
        <v>12</v>
      </c>
      <c r="N20" s="10">
        <f>IF(E20="Sim",VLOOKUP(D20,Tabela_1[[#ALL],[CPF]:[Que cargo você ocupa no CACS-FUNDEB?]],2,FALSE),F20)</f>
        <v>32141</v>
      </c>
      <c r="O20" s="9" t="str">
        <f>IF(E20="Sim",VLOOKUP(D20,Tabela_1[[#ALL],[CPF]:[Que cargo você ocupa no CACS-FUNDEB?]],3,FALSE),G20)</f>
        <v>(67)99203-3075</v>
      </c>
      <c r="P20" s="9" t="str">
        <f>IF(E20="Sim",VLOOKUP(D20,Tabela_1[[#ALL],[CPF]:[Que cargo você ocupa no CACS-FUNDEB?]],4,FALSE),H20)</f>
        <v>Miranda</v>
      </c>
      <c r="Q20" s="9" t="str">
        <f>IF(E20="Sim",VLOOKUP(D20,Tabela_1[[#ALL],[CPF]:[Que cargo você ocupa no CACS-FUNDEB?]],5,FALSE),I20)</f>
        <v>Gestão municipal</v>
      </c>
    </row>
    <row r="21" ht="22.5" customHeight="1">
      <c r="A21" s="13">
        <v>45806.40748962963</v>
      </c>
      <c r="B21" s="14" t="s">
        <v>177</v>
      </c>
      <c r="C21" s="14" t="s">
        <v>178</v>
      </c>
      <c r="D21" s="14" t="s">
        <v>97</v>
      </c>
      <c r="E21" s="14" t="s">
        <v>155</v>
      </c>
      <c r="M21" s="6" t="s">
        <v>12</v>
      </c>
      <c r="N21" s="10">
        <f>IF(E21="Sim",VLOOKUP(D21,Tabela_1[[#ALL],[CPF]:[Que cargo você ocupa no CACS-FUNDEB?]],2,FALSE),F21)</f>
        <v>28880</v>
      </c>
      <c r="O21" s="9" t="str">
        <f>IF(E21="Sim",VLOOKUP(D21,Tabela_1[[#ALL],[CPF]:[Que cargo você ocupa no CACS-FUNDEB?]],3,FALSE),G21)</f>
        <v>(67)99672-3648</v>
      </c>
      <c r="P21" s="9" t="str">
        <f>IF(E21="Sim",VLOOKUP(D21,Tabela_1[[#ALL],[CPF]:[Que cargo você ocupa no CACS-FUNDEB?]],4,FALSE),H21)</f>
        <v>Miranda</v>
      </c>
      <c r="Q21" s="9" t="str">
        <f>IF(E21="Sim",VLOOKUP(D21,Tabela_1[[#ALL],[CPF]:[Que cargo você ocupa no CACS-FUNDEB?]],5,FALSE),I21)</f>
        <v>CACS-FUNDEB</v>
      </c>
    </row>
    <row r="22" ht="22.5" customHeight="1">
      <c r="A22" s="5">
        <v>45806.396048807874</v>
      </c>
      <c r="B22" s="6" t="s">
        <v>40</v>
      </c>
      <c r="C22" s="6" t="s">
        <v>41</v>
      </c>
      <c r="D22" s="6" t="s">
        <v>42</v>
      </c>
      <c r="E22" s="6" t="s">
        <v>155</v>
      </c>
      <c r="F22" s="9"/>
      <c r="G22" s="9"/>
      <c r="H22" s="9"/>
      <c r="I22" s="9"/>
      <c r="J22" s="9"/>
      <c r="K22" s="9"/>
      <c r="L22" s="9"/>
      <c r="M22" s="6" t="s">
        <v>12</v>
      </c>
      <c r="N22" s="10">
        <f>IF(E22="Sim",VLOOKUP(D22,Tabela_1[[#ALL],[CPF]:[Que cargo você ocupa no CACS-FUNDEB?]],2,FALSE),F22)</f>
        <v>29411</v>
      </c>
      <c r="O22" s="9" t="str">
        <f>IF(E22="Sim",VLOOKUP(D22,Tabela_1[[#ALL],[CPF]:[Que cargo você ocupa no CACS-FUNDEB?]],3,FALSE),G22)</f>
        <v>(67)99825-7335</v>
      </c>
      <c r="P22" s="9" t="str">
        <f>IF(E22="Sim",VLOOKUP(D22,Tabela_1[[#ALL],[CPF]:[Que cargo você ocupa no CACS-FUNDEB?]],4,FALSE),H22)</f>
        <v>Nioaque</v>
      </c>
      <c r="Q22" s="9" t="str">
        <f>IF(E22="Sim",VLOOKUP(D22,Tabela_1[[#ALL],[CPF]:[Que cargo você ocupa no CACS-FUNDEB?]],5,FALSE),I22)</f>
        <v>Gestão municipal</v>
      </c>
    </row>
    <row r="23" ht="22.5" customHeight="1">
      <c r="A23" s="5">
        <v>45806.4020515625</v>
      </c>
      <c r="B23" s="6" t="s">
        <v>47</v>
      </c>
      <c r="C23" s="6" t="s">
        <v>48</v>
      </c>
      <c r="D23" s="6" t="s">
        <v>49</v>
      </c>
      <c r="E23" s="6" t="s">
        <v>155</v>
      </c>
      <c r="F23" s="9"/>
      <c r="G23" s="9"/>
      <c r="H23" s="9"/>
      <c r="I23" s="9"/>
      <c r="J23" s="9"/>
      <c r="K23" s="9"/>
      <c r="L23" s="9"/>
      <c r="M23" s="6" t="s">
        <v>12</v>
      </c>
      <c r="N23" s="10">
        <f>IF(E23="Sim",VLOOKUP(D23,Tabela_1[[#ALL],[CPF]:[Que cargo você ocupa no CACS-FUNDEB?]],2,FALSE),F23)</f>
        <v>29622</v>
      </c>
      <c r="O23" s="9" t="str">
        <f>IF(E23="Sim",VLOOKUP(D23,Tabela_1[[#ALL],[CPF]:[Que cargo você ocupa no CACS-FUNDEB?]],3,FALSE),G23)</f>
        <v>(67)99857-0036</v>
      </c>
      <c r="P23" s="9" t="str">
        <f>IF(E23="Sim",VLOOKUP(D23,Tabela_1[[#ALL],[CPF]:[Que cargo você ocupa no CACS-FUNDEB?]],4,FALSE),H23)</f>
        <v>Nioaque</v>
      </c>
      <c r="Q23" s="9" t="str">
        <f>IF(E23="Sim",VLOOKUP(D23,Tabela_1[[#ALL],[CPF]:[Que cargo você ocupa no CACS-FUNDEB?]],5,FALSE),I23)</f>
        <v>CACS-FUNDEB</v>
      </c>
    </row>
    <row r="24" ht="22.5" customHeight="1">
      <c r="A24" s="5">
        <v>45806.401638958334</v>
      </c>
      <c r="B24" s="6" t="s">
        <v>111</v>
      </c>
      <c r="C24" s="6" t="s">
        <v>179</v>
      </c>
      <c r="D24" s="6" t="s">
        <v>113</v>
      </c>
      <c r="E24" s="6" t="s">
        <v>155</v>
      </c>
      <c r="F24" s="9"/>
      <c r="G24" s="9"/>
      <c r="H24" s="9"/>
      <c r="I24" s="9"/>
      <c r="J24" s="9"/>
      <c r="K24" s="9"/>
      <c r="L24" s="9"/>
      <c r="M24" s="6" t="s">
        <v>12</v>
      </c>
      <c r="N24" s="10">
        <f>IF(E24="Sim",VLOOKUP(D24,Tabela_1[[#ALL],[CPF]:[Que cargo você ocupa no CACS-FUNDEB?]],2,FALSE),F24)</f>
        <v>26510</v>
      </c>
      <c r="O24" s="9" t="str">
        <f>IF(E24="Sim",VLOOKUP(D24,Tabela_1[[#ALL],[CPF]:[Que cargo você ocupa no CACS-FUNDEB?]],3,FALSE),G24)</f>
        <v>(67)99676-6118</v>
      </c>
      <c r="P24" s="9" t="str">
        <f>IF(E24="Sim",VLOOKUP(D24,Tabela_1[[#ALL],[CPF]:[Que cargo você ocupa no CACS-FUNDEB?]],4,FALSE),H24)</f>
        <v>Porto Murtinho</v>
      </c>
      <c r="Q24" s="9" t="str">
        <f>IF(E24="Sim",VLOOKUP(D24,Tabela_1[[#ALL],[CPF]:[Que cargo você ocupa no CACS-FUNDEB?]],5,FALSE),I24)</f>
        <v>Gestão municipal</v>
      </c>
    </row>
    <row r="25" ht="22.5" customHeight="1">
      <c r="A25" s="13">
        <v>45806.403109120365</v>
      </c>
      <c r="B25" s="14" t="s">
        <v>33</v>
      </c>
      <c r="C25" s="14" t="s">
        <v>180</v>
      </c>
      <c r="D25" s="14" t="s">
        <v>35</v>
      </c>
      <c r="E25" s="14" t="s">
        <v>155</v>
      </c>
      <c r="M25" s="6" t="s">
        <v>12</v>
      </c>
      <c r="N25" s="10">
        <f>IF(E25="Sim",VLOOKUP(D25,Tabela_1[[#ALL],[CPF]:[Que cargo você ocupa no CACS-FUNDEB?]],2,FALSE),F25)</f>
        <v>28844</v>
      </c>
      <c r="O25" s="9" t="str">
        <f>IF(E25="Sim",VLOOKUP(D25,Tabela_1[[#ALL],[CPF]:[Que cargo você ocupa no CACS-FUNDEB?]],3,FALSE),G25)</f>
        <v>(67)99808-5232</v>
      </c>
      <c r="P25" s="9" t="str">
        <f>IF(E25="Sim",VLOOKUP(D25,Tabela_1[[#ALL],[CPF]:[Que cargo você ocupa no CACS-FUNDEB?]],4,FALSE),H25)</f>
        <v>Porto Murtinho</v>
      </c>
      <c r="Q25" s="9" t="str">
        <f>IF(E25="Sim",VLOOKUP(D25,Tabela_1[[#ALL],[CPF]:[Que cargo você ocupa no CACS-FUNDEB?]],5,FALSE),I25)</f>
        <v>CACS-FUNDEB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ht="22.5" customHeight="1">
      <c r="A2" s="8">
        <v>45797.47186849537</v>
      </c>
      <c r="B2" s="9" t="s">
        <v>25</v>
      </c>
      <c r="C2" s="9" t="s">
        <v>27</v>
      </c>
      <c r="D2" s="9" t="s">
        <v>28</v>
      </c>
      <c r="E2" s="10">
        <v>28648.0</v>
      </c>
      <c r="F2" s="9" t="s">
        <v>29</v>
      </c>
      <c r="G2" s="9" t="s">
        <v>30</v>
      </c>
      <c r="H2" s="9" t="s">
        <v>31</v>
      </c>
      <c r="I2" s="9" t="s">
        <v>32</v>
      </c>
      <c r="J2" s="9"/>
      <c r="K2" s="9"/>
    </row>
    <row r="3" ht="22.5" customHeight="1">
      <c r="A3" s="8">
        <v>45798.41679131944</v>
      </c>
      <c r="B3" s="9" t="s">
        <v>33</v>
      </c>
      <c r="C3" s="9" t="s">
        <v>34</v>
      </c>
      <c r="D3" s="9" t="s">
        <v>35</v>
      </c>
      <c r="E3" s="10">
        <v>28844.0</v>
      </c>
      <c r="F3" s="9" t="s">
        <v>36</v>
      </c>
      <c r="G3" s="9" t="s">
        <v>37</v>
      </c>
      <c r="H3" s="9" t="s">
        <v>38</v>
      </c>
      <c r="I3" s="9"/>
      <c r="J3" s="9"/>
      <c r="K3" s="9" t="s">
        <v>39</v>
      </c>
    </row>
    <row r="4" ht="22.5" customHeight="1">
      <c r="A4" s="8">
        <v>45798.67534638889</v>
      </c>
      <c r="B4" s="9" t="s">
        <v>40</v>
      </c>
      <c r="C4" s="9" t="s">
        <v>41</v>
      </c>
      <c r="D4" s="9" t="s">
        <v>42</v>
      </c>
      <c r="E4" s="10">
        <v>29411.0</v>
      </c>
      <c r="F4" s="9" t="s">
        <v>43</v>
      </c>
      <c r="G4" s="9" t="s">
        <v>44</v>
      </c>
      <c r="H4" s="9" t="s">
        <v>31</v>
      </c>
      <c r="I4" s="9" t="s">
        <v>45</v>
      </c>
      <c r="J4" s="9" t="s">
        <v>46</v>
      </c>
      <c r="K4" s="9"/>
    </row>
    <row r="5" ht="22.5" customHeight="1">
      <c r="A5" s="8">
        <v>45798.68095673611</v>
      </c>
      <c r="B5" s="9" t="s">
        <v>47</v>
      </c>
      <c r="C5" s="9" t="s">
        <v>48</v>
      </c>
      <c r="D5" s="9" t="s">
        <v>49</v>
      </c>
      <c r="E5" s="10">
        <v>29622.0</v>
      </c>
      <c r="F5" s="9" t="s">
        <v>50</v>
      </c>
      <c r="G5" s="9" t="s">
        <v>44</v>
      </c>
      <c r="H5" s="9" t="s">
        <v>38</v>
      </c>
      <c r="I5" s="9"/>
      <c r="J5" s="9"/>
      <c r="K5" s="9" t="s">
        <v>51</v>
      </c>
    </row>
    <row r="6" ht="22.5" customHeight="1">
      <c r="A6" s="8">
        <v>45798.78384795139</v>
      </c>
      <c r="B6" s="9" t="s">
        <v>52</v>
      </c>
      <c r="C6" s="9" t="s">
        <v>53</v>
      </c>
      <c r="D6" s="9" t="s">
        <v>54</v>
      </c>
      <c r="E6" s="10">
        <v>23409.0</v>
      </c>
      <c r="F6" s="9" t="s">
        <v>55</v>
      </c>
      <c r="G6" s="9" t="s">
        <v>56</v>
      </c>
      <c r="H6" s="9" t="s">
        <v>38</v>
      </c>
      <c r="I6" s="9"/>
      <c r="J6" s="9"/>
      <c r="K6" s="9" t="s">
        <v>57</v>
      </c>
    </row>
    <row r="7" ht="22.5" customHeight="1">
      <c r="A7" s="8">
        <v>45799.380250752314</v>
      </c>
      <c r="B7" s="9" t="s">
        <v>58</v>
      </c>
      <c r="C7" s="9" t="s">
        <v>59</v>
      </c>
      <c r="D7" s="9" t="s">
        <v>60</v>
      </c>
      <c r="E7" s="10">
        <v>30385.0</v>
      </c>
      <c r="F7" s="9" t="s">
        <v>61</v>
      </c>
      <c r="G7" s="9" t="s">
        <v>30</v>
      </c>
      <c r="H7" s="9" t="s">
        <v>31</v>
      </c>
      <c r="I7" s="9" t="s">
        <v>62</v>
      </c>
      <c r="J7" s="9" t="s">
        <v>63</v>
      </c>
      <c r="K7" s="9"/>
    </row>
    <row r="8" ht="22.5" customHeight="1">
      <c r="A8" s="8">
        <v>45799.382426261574</v>
      </c>
      <c r="B8" s="9" t="s">
        <v>64</v>
      </c>
      <c r="C8" s="9" t="s">
        <v>65</v>
      </c>
      <c r="D8" s="9" t="s">
        <v>66</v>
      </c>
      <c r="E8" s="10">
        <v>27361.0</v>
      </c>
      <c r="F8" s="9" t="s">
        <v>67</v>
      </c>
      <c r="G8" s="9" t="s">
        <v>30</v>
      </c>
      <c r="H8" s="9" t="s">
        <v>31</v>
      </c>
      <c r="I8" s="9" t="s">
        <v>68</v>
      </c>
      <c r="J8" s="9"/>
      <c r="K8" s="9"/>
    </row>
    <row r="9" ht="22.5" customHeight="1">
      <c r="A9" s="8">
        <v>45805.44620855324</v>
      </c>
      <c r="B9" s="9" t="s">
        <v>69</v>
      </c>
      <c r="C9" s="9" t="s">
        <v>70</v>
      </c>
      <c r="D9" s="9" t="s">
        <v>71</v>
      </c>
      <c r="E9" s="10">
        <v>28554.0</v>
      </c>
      <c r="F9" s="9" t="s">
        <v>72</v>
      </c>
      <c r="G9" s="9" t="s">
        <v>73</v>
      </c>
      <c r="H9" s="9" t="s">
        <v>31</v>
      </c>
      <c r="I9" s="9" t="s">
        <v>74</v>
      </c>
      <c r="J9" s="9"/>
      <c r="K9" s="9"/>
    </row>
    <row r="10" ht="22.5" customHeight="1">
      <c r="A10" s="8">
        <v>45800.69512107639</v>
      </c>
      <c r="B10" s="9" t="s">
        <v>75</v>
      </c>
      <c r="C10" s="9" t="s">
        <v>76</v>
      </c>
      <c r="D10" s="9" t="s">
        <v>77</v>
      </c>
      <c r="E10" s="10">
        <v>28809.0</v>
      </c>
      <c r="F10" s="9" t="s">
        <v>78</v>
      </c>
      <c r="G10" s="9" t="s">
        <v>73</v>
      </c>
      <c r="H10" s="9" t="s">
        <v>38</v>
      </c>
      <c r="I10" s="9"/>
      <c r="J10" s="9"/>
      <c r="K10" s="9" t="s">
        <v>79</v>
      </c>
    </row>
    <row r="11" ht="22.5" customHeight="1">
      <c r="A11" s="8">
        <v>45803.36706686343</v>
      </c>
      <c r="B11" s="9" t="s">
        <v>80</v>
      </c>
      <c r="C11" s="9" t="s">
        <v>81</v>
      </c>
      <c r="D11" s="9" t="s">
        <v>82</v>
      </c>
      <c r="E11" s="10">
        <v>32141.0</v>
      </c>
      <c r="F11" s="9" t="s">
        <v>83</v>
      </c>
      <c r="G11" s="9" t="s">
        <v>84</v>
      </c>
      <c r="H11" s="9" t="s">
        <v>31</v>
      </c>
      <c r="I11" s="9" t="s">
        <v>85</v>
      </c>
      <c r="J11" s="9"/>
      <c r="K11" s="9"/>
    </row>
    <row r="12" ht="22.5" customHeight="1">
      <c r="A12" s="8">
        <v>45803.394792673615</v>
      </c>
      <c r="B12" s="9" t="s">
        <v>86</v>
      </c>
      <c r="C12" s="9" t="s">
        <v>87</v>
      </c>
      <c r="D12" s="9" t="s">
        <v>88</v>
      </c>
      <c r="E12" s="10">
        <v>22943.0</v>
      </c>
      <c r="F12" s="9" t="s">
        <v>89</v>
      </c>
      <c r="G12" s="9" t="s">
        <v>30</v>
      </c>
      <c r="H12" s="9" t="s">
        <v>31</v>
      </c>
      <c r="I12" s="9" t="s">
        <v>90</v>
      </c>
      <c r="J12" s="9" t="s">
        <v>91</v>
      </c>
      <c r="K12" s="9"/>
    </row>
    <row r="13" ht="22.5" customHeight="1">
      <c r="A13" s="8">
        <v>45803.379808356476</v>
      </c>
      <c r="B13" s="9" t="s">
        <v>80</v>
      </c>
      <c r="C13" s="9" t="s">
        <v>92</v>
      </c>
      <c r="D13" s="9" t="s">
        <v>93</v>
      </c>
      <c r="E13" s="10">
        <v>30714.0</v>
      </c>
      <c r="F13" s="9" t="s">
        <v>94</v>
      </c>
      <c r="G13" s="9" t="s">
        <v>84</v>
      </c>
      <c r="H13" s="9" t="s">
        <v>31</v>
      </c>
      <c r="I13" s="9" t="s">
        <v>95</v>
      </c>
      <c r="J13" s="9"/>
      <c r="K13" s="9"/>
    </row>
    <row r="14" ht="22.5" customHeight="1">
      <c r="A14" s="8">
        <v>45803.383173912036</v>
      </c>
      <c r="B14" s="9" t="s">
        <v>80</v>
      </c>
      <c r="C14" s="9" t="s">
        <v>96</v>
      </c>
      <c r="D14" s="9" t="s">
        <v>97</v>
      </c>
      <c r="E14" s="10">
        <v>28880.0</v>
      </c>
      <c r="F14" s="9" t="s">
        <v>98</v>
      </c>
      <c r="G14" s="9" t="s">
        <v>84</v>
      </c>
      <c r="H14" s="9" t="s">
        <v>38</v>
      </c>
      <c r="I14" s="9"/>
      <c r="J14" s="9"/>
      <c r="K14" s="9" t="s">
        <v>99</v>
      </c>
    </row>
    <row r="15" ht="22.5" customHeight="1">
      <c r="A15" s="8">
        <v>45803.467959131944</v>
      </c>
      <c r="B15" s="9" t="s">
        <v>100</v>
      </c>
      <c r="C15" s="9" t="s">
        <v>101</v>
      </c>
      <c r="D15" s="9" t="s">
        <v>102</v>
      </c>
      <c r="E15" s="10">
        <v>27638.0</v>
      </c>
      <c r="F15" s="9" t="s">
        <v>103</v>
      </c>
      <c r="G15" s="9" t="s">
        <v>104</v>
      </c>
      <c r="H15" s="9" t="s">
        <v>31</v>
      </c>
      <c r="I15" s="9" t="s">
        <v>105</v>
      </c>
      <c r="J15" s="9"/>
      <c r="K15" s="9"/>
    </row>
    <row r="16" ht="22.5" customHeight="1">
      <c r="A16" s="8">
        <v>45803.47337922454</v>
      </c>
      <c r="B16" s="9" t="s">
        <v>106</v>
      </c>
      <c r="C16" s="9" t="s">
        <v>107</v>
      </c>
      <c r="D16" s="9" t="s">
        <v>108</v>
      </c>
      <c r="E16" s="10">
        <v>38393.0</v>
      </c>
      <c r="F16" s="9" t="s">
        <v>109</v>
      </c>
      <c r="G16" s="9" t="s">
        <v>104</v>
      </c>
      <c r="H16" s="9" t="s">
        <v>31</v>
      </c>
      <c r="I16" s="9" t="s">
        <v>110</v>
      </c>
      <c r="J16" s="9"/>
      <c r="K16" s="9"/>
    </row>
    <row r="17" ht="22.5" customHeight="1">
      <c r="A17" s="8">
        <v>45803.69054820602</v>
      </c>
      <c r="B17" s="9" t="s">
        <v>111</v>
      </c>
      <c r="C17" s="9" t="s">
        <v>112</v>
      </c>
      <c r="D17" s="9" t="s">
        <v>113</v>
      </c>
      <c r="E17" s="10">
        <v>26510.0</v>
      </c>
      <c r="F17" s="9" t="s">
        <v>114</v>
      </c>
      <c r="G17" s="9" t="s">
        <v>37</v>
      </c>
      <c r="H17" s="9" t="s">
        <v>31</v>
      </c>
      <c r="I17" s="9" t="s">
        <v>115</v>
      </c>
      <c r="J17" s="9" t="s">
        <v>116</v>
      </c>
      <c r="K17" s="9"/>
    </row>
    <row r="18" ht="22.5" customHeight="1">
      <c r="A18" s="8">
        <v>45804.34664016204</v>
      </c>
      <c r="B18" s="9" t="s">
        <v>117</v>
      </c>
      <c r="C18" s="9" t="s">
        <v>118</v>
      </c>
      <c r="D18" s="9" t="s">
        <v>119</v>
      </c>
      <c r="E18" s="10">
        <v>29441.0</v>
      </c>
      <c r="F18" s="9" t="s">
        <v>120</v>
      </c>
      <c r="G18" s="9" t="s">
        <v>121</v>
      </c>
      <c r="H18" s="9" t="s">
        <v>31</v>
      </c>
      <c r="I18" s="9" t="s">
        <v>122</v>
      </c>
      <c r="J18" s="9"/>
      <c r="K18" s="9"/>
    </row>
    <row r="19" ht="22.5" customHeight="1">
      <c r="A19" s="8">
        <v>45804.468314004625</v>
      </c>
      <c r="B19" s="9" t="s">
        <v>123</v>
      </c>
      <c r="C19" s="9" t="s">
        <v>124</v>
      </c>
      <c r="D19" s="9" t="s">
        <v>125</v>
      </c>
      <c r="E19" s="10">
        <v>30738.0</v>
      </c>
      <c r="F19" s="9" t="s">
        <v>126</v>
      </c>
      <c r="G19" s="9" t="s">
        <v>56</v>
      </c>
      <c r="H19" s="9" t="s">
        <v>38</v>
      </c>
      <c r="I19" s="9"/>
      <c r="J19" s="9"/>
      <c r="K19" s="9" t="s">
        <v>127</v>
      </c>
    </row>
    <row r="20" ht="22.5" customHeight="1">
      <c r="A20" s="8">
        <v>45804.49932128472</v>
      </c>
      <c r="B20" s="9" t="s">
        <v>128</v>
      </c>
      <c r="C20" s="9" t="s">
        <v>129</v>
      </c>
      <c r="D20" s="9" t="s">
        <v>130</v>
      </c>
      <c r="E20" s="10">
        <v>29239.0</v>
      </c>
      <c r="F20" s="9" t="s">
        <v>131</v>
      </c>
      <c r="G20" s="9" t="s">
        <v>104</v>
      </c>
      <c r="H20" s="9" t="s">
        <v>38</v>
      </c>
      <c r="I20" s="9"/>
      <c r="J20" s="9"/>
      <c r="K20" s="9" t="s">
        <v>132</v>
      </c>
    </row>
    <row r="21" ht="22.5" customHeight="1">
      <c r="A21" s="8">
        <v>45804.57718778936</v>
      </c>
      <c r="B21" s="9" t="s">
        <v>133</v>
      </c>
      <c r="C21" s="9" t="s">
        <v>134</v>
      </c>
      <c r="D21" s="9" t="s">
        <v>135</v>
      </c>
      <c r="E21" s="10">
        <v>23308.0</v>
      </c>
      <c r="F21" s="9" t="s">
        <v>136</v>
      </c>
      <c r="G21" s="9" t="s">
        <v>121</v>
      </c>
      <c r="H21" s="9" t="s">
        <v>31</v>
      </c>
      <c r="I21" s="9" t="s">
        <v>137</v>
      </c>
      <c r="J21" s="9"/>
      <c r="K21" s="9"/>
    </row>
    <row r="22" ht="22.5" customHeight="1">
      <c r="A22" s="8">
        <v>45804.6055615625</v>
      </c>
      <c r="B22" s="9" t="s">
        <v>138</v>
      </c>
      <c r="C22" s="9" t="s">
        <v>139</v>
      </c>
      <c r="D22" s="9" t="s">
        <v>140</v>
      </c>
      <c r="E22" s="10">
        <v>26326.0</v>
      </c>
      <c r="F22" s="9" t="s">
        <v>141</v>
      </c>
      <c r="G22" s="9" t="s">
        <v>56</v>
      </c>
      <c r="H22" s="9" t="s">
        <v>31</v>
      </c>
      <c r="I22" s="9" t="s">
        <v>142</v>
      </c>
      <c r="J22" s="9"/>
      <c r="K22" s="9"/>
    </row>
    <row r="23" ht="22.5" customHeight="1">
      <c r="A23" s="8">
        <v>45804.60605753472</v>
      </c>
      <c r="B23" s="9" t="s">
        <v>143</v>
      </c>
      <c r="C23" s="9" t="s">
        <v>144</v>
      </c>
      <c r="D23" s="9" t="s">
        <v>145</v>
      </c>
      <c r="E23" s="10">
        <v>36609.0</v>
      </c>
      <c r="F23" s="9" t="s">
        <v>146</v>
      </c>
      <c r="G23" s="9" t="s">
        <v>147</v>
      </c>
      <c r="H23" s="9" t="s">
        <v>31</v>
      </c>
      <c r="I23" s="9" t="s">
        <v>148</v>
      </c>
      <c r="J23" s="9"/>
      <c r="K23" s="9"/>
    </row>
    <row r="24" ht="22.5" customHeight="1">
      <c r="A24" s="8">
        <v>45805.501712094905</v>
      </c>
      <c r="B24" s="9" t="s">
        <v>149</v>
      </c>
      <c r="C24" s="9" t="s">
        <v>150</v>
      </c>
      <c r="D24" s="9" t="s">
        <v>151</v>
      </c>
      <c r="E24" s="10">
        <v>28422.0</v>
      </c>
      <c r="F24" s="9" t="s">
        <v>152</v>
      </c>
      <c r="G24" s="9" t="s">
        <v>56</v>
      </c>
      <c r="H24" s="9" t="s">
        <v>31</v>
      </c>
      <c r="I24" s="9" t="s">
        <v>153</v>
      </c>
      <c r="J24" s="9"/>
      <c r="K24" s="9"/>
    </row>
  </sheetData>
  <drawing r:id="rId2"/>
  <legacyDrawing r:id="rId3"/>
  <tableParts count="1">
    <tablePart r:id="rId5"/>
  </tableParts>
</worksheet>
</file>