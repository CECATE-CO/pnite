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Datas" sheetId="2" r:id="rId6"/>
    <sheet state="visible" name="Confirmados Via E-mail" sheetId="3" r:id="rId7"/>
    <sheet state="visible" name="Controle" sheetId="4" r:id="rId8"/>
  </sheets>
  <definedNames>
    <definedName hidden="1" localSheetId="0" name="_xlnm._FilterDatabase">'Respostas ao formulário 1'!$A$1:$L$94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58">
      <text>
        <t xml:space="preserve">O respondente atualizou este valor.</t>
      </text>
    </comment>
    <comment authorId="0" ref="C48">
      <text>
        <t xml:space="preserve">O respondente atualizou este valor.</t>
      </text>
    </comment>
    <comment authorId="0" ref="C58">
      <text>
        <t xml:space="preserve">O respondente atualizou este valor.</t>
      </text>
    </comment>
    <comment authorId="0" ref="D58">
      <text>
        <t xml:space="preserve">O respondente atualizou este valor.</t>
      </text>
    </comment>
    <comment authorId="0" ref="E58">
      <text>
        <t xml:space="preserve">O respondente atualizou este valor.</t>
      </text>
    </comment>
    <comment authorId="0" ref="F58">
      <text>
        <t xml:space="preserve">O respondente atualizou este valor.</t>
      </text>
    </comment>
    <comment authorId="0" ref="H58">
      <text>
        <t xml:space="preserve">O respondente atualizou este valor.</t>
      </text>
    </comment>
    <comment authorId="0" ref="I58">
      <text>
        <t xml:space="preserve">O respondente atualizou este valor.</t>
      </text>
    </comment>
  </commentList>
</comments>
</file>

<file path=xl/sharedStrings.xml><?xml version="1.0" encoding="utf-8"?>
<sst xmlns="http://schemas.openxmlformats.org/spreadsheetml/2006/main" count="1417" uniqueCount="510">
  <si>
    <t>Carimbo de data/hora</t>
  </si>
  <si>
    <t>Endereço de e-mail</t>
  </si>
  <si>
    <t>Nome Completo:</t>
  </si>
  <si>
    <t>CPF</t>
  </si>
  <si>
    <t>Data de Nascimento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</si>
  <si>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</si>
  <si>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</si>
  <si>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</si>
  <si>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</si>
  <si>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</si>
  <si>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</si>
  <si>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Dia</t>
  </si>
  <si>
    <t>carmemkaio@hotmail.com</t>
  </si>
  <si>
    <t xml:space="preserve">Carmem Lúcia Lopes da Silva </t>
  </si>
  <si>
    <t>929.329.591-15</t>
  </si>
  <si>
    <t>(67)99694-5535</t>
  </si>
  <si>
    <t>Amambai</t>
  </si>
  <si>
    <t>Gestão municipal</t>
  </si>
  <si>
    <t xml:space="preserve">Técnica de convênios e prestação de contas/membros do Cacs-Fundeb também </t>
  </si>
  <si>
    <t>Garantia de transporte a todos</t>
  </si>
  <si>
    <t>edinaldo_s_silva@hotmail.com</t>
  </si>
  <si>
    <t>Edinaldo Silva</t>
  </si>
  <si>
    <t>830.554.871-68</t>
  </si>
  <si>
    <t>(67)99649-7035</t>
  </si>
  <si>
    <t>CACS-FUNDEB</t>
  </si>
  <si>
    <t xml:space="preserve">presidente </t>
  </si>
  <si>
    <t>profosmar@hotmail.com</t>
  </si>
  <si>
    <t>Osmar Aparecido Delvecchio</t>
  </si>
  <si>
    <t>319.591.219-87</t>
  </si>
  <si>
    <t>(67)99852-3057</t>
  </si>
  <si>
    <t>Conselheiro</t>
  </si>
  <si>
    <t>tania_ruivo@hotmail.com</t>
  </si>
  <si>
    <t>Tania Aparecida Ruivo da Luz</t>
  </si>
  <si>
    <t>017.339.721-29</t>
  </si>
  <si>
    <t>(67)99253-6974</t>
  </si>
  <si>
    <t xml:space="preserve">Secretária de Educação </t>
  </si>
  <si>
    <t xml:space="preserve">Não temos ni momento </t>
  </si>
  <si>
    <t>valdemarantonio5@hotmail.com</t>
  </si>
  <si>
    <t xml:space="preserve">Valdemar Antônio de Oliveira </t>
  </si>
  <si>
    <t>372.774.131-72</t>
  </si>
  <si>
    <t>(67)99802-6446</t>
  </si>
  <si>
    <t>Gestor de Transporte Escolar</t>
  </si>
  <si>
    <t>transporte.escolar.amambai@hotmail.com</t>
  </si>
  <si>
    <t xml:space="preserve">Wender Luiz Farias Garai </t>
  </si>
  <si>
    <t>971.277.281-00</t>
  </si>
  <si>
    <t>(67)99108-5287</t>
  </si>
  <si>
    <t>Coordenador de transporte escolar</t>
  </si>
  <si>
    <t>osmair_garcia@hotmail.com</t>
  </si>
  <si>
    <t>EDSON UMBELINO</t>
  </si>
  <si>
    <t>554.765.201-63</t>
  </si>
  <si>
    <t>(67)99835-3076</t>
  </si>
  <si>
    <t>Anaurilândia</t>
  </si>
  <si>
    <t>COORDENADOR TRANSPORTE ESCOLAR</t>
  </si>
  <si>
    <t>OSMAIR ALVES GARCIA</t>
  </si>
  <si>
    <t>796.398.951-72</t>
  </si>
  <si>
    <t>(67)99888-4290</t>
  </si>
  <si>
    <t>ASSISTENTE ADMINISTRATIVO</t>
  </si>
  <si>
    <t>O MUNIC. CONSEGUIU TERCEIRIZAR BOA PARTE DAS LINHAS COM VEICULOS 2025!</t>
  </si>
  <si>
    <t>fv747993@gmail.com</t>
  </si>
  <si>
    <t>José Fernando Vieira da Silva</t>
  </si>
  <si>
    <t>005.338.441-50</t>
  </si>
  <si>
    <t>(67)99225-2689</t>
  </si>
  <si>
    <t>Angélica</t>
  </si>
  <si>
    <t xml:space="preserve">Chefe de Núcleo de Transporte Escolar </t>
  </si>
  <si>
    <t>ricardosm2002@hotmail.com</t>
  </si>
  <si>
    <t>RICARDO SOUZA MARCHINI</t>
  </si>
  <si>
    <t>022.616.841-77</t>
  </si>
  <si>
    <t>(67)99671-9885</t>
  </si>
  <si>
    <t>CONTADOR</t>
  </si>
  <si>
    <t>marcosantoniokol17@gmail.com</t>
  </si>
  <si>
    <t xml:space="preserve">Marcos Antônio Kol Rudes </t>
  </si>
  <si>
    <t>088.101.191-69</t>
  </si>
  <si>
    <t>(67)99991-3879</t>
  </si>
  <si>
    <t>Aral Moreira</t>
  </si>
  <si>
    <t xml:space="preserve">Assistente Administrativo </t>
  </si>
  <si>
    <t>martavlrigon@gmail.com</t>
  </si>
  <si>
    <t>Marta Vieira Leite Rigon</t>
  </si>
  <si>
    <t>906.974.991-20</t>
  </si>
  <si>
    <t>(67)99976-7300</t>
  </si>
  <si>
    <t>Secretária municipal de educação</t>
  </si>
  <si>
    <t>alcenirlima2025semec@gmail.com</t>
  </si>
  <si>
    <t>Alcenir Rodrigues de Lima</t>
  </si>
  <si>
    <t>365.252.431-49</t>
  </si>
  <si>
    <t>(67)98192-0562</t>
  </si>
  <si>
    <t>Bataguassu</t>
  </si>
  <si>
    <t xml:space="preserve">Assessor Técnico e Pedagógico de Projetos e Convênios </t>
  </si>
  <si>
    <t>smec2018@outlook.com</t>
  </si>
  <si>
    <t>Adriana Ramos da Silva</t>
  </si>
  <si>
    <t>015.884.291-05</t>
  </si>
  <si>
    <t>(67)99626-6555</t>
  </si>
  <si>
    <t>Batayporã</t>
  </si>
  <si>
    <t>Técnica do Transporte Escolar</t>
  </si>
  <si>
    <t>leiasouzass@hotmail.com</t>
  </si>
  <si>
    <t>Leia Maria de Jesus Souza</t>
  </si>
  <si>
    <t>797.993.701-59</t>
  </si>
  <si>
    <t>(67)99912-5189</t>
  </si>
  <si>
    <t>Prestação Contas</t>
  </si>
  <si>
    <t>cidamirandasilva@gmail.com</t>
  </si>
  <si>
    <t xml:space="preserve">Maria Aparecida Miranda da Silva </t>
  </si>
  <si>
    <t>481.570.661-15</t>
  </si>
  <si>
    <t>1/15/0069</t>
  </si>
  <si>
    <t>(67)99829-2334</t>
  </si>
  <si>
    <t xml:space="preserve">Vice presidente </t>
  </si>
  <si>
    <t>vanderleifreitas722@gmail.com</t>
  </si>
  <si>
    <t xml:space="preserve">Vanderlei de Freitas Santos </t>
  </si>
  <si>
    <t>019.226.361-77</t>
  </si>
  <si>
    <t>(67)99919-6945</t>
  </si>
  <si>
    <t xml:space="preserve">Presidente </t>
  </si>
  <si>
    <t>davi.v.lopes@hotmail.com</t>
  </si>
  <si>
    <t xml:space="preserve">Davi Vieira Lopes </t>
  </si>
  <si>
    <t>840.823.481-15</t>
  </si>
  <si>
    <t>(67)99925-9086</t>
  </si>
  <si>
    <t>Caarapó</t>
  </si>
  <si>
    <t>bell-ifsm@hotmail.com</t>
  </si>
  <si>
    <t xml:space="preserve">Isabel Fernandes santos </t>
  </si>
  <si>
    <t>876.656.541-34</t>
  </si>
  <si>
    <t>(67)99627-0716</t>
  </si>
  <si>
    <t>Prestação de contas</t>
  </si>
  <si>
    <t>josilaineneves01@gmail.com</t>
  </si>
  <si>
    <t>JOSILÂINE NEVES DA SILVA</t>
  </si>
  <si>
    <t>032.679.841-22</t>
  </si>
  <si>
    <t>(67)99101-5042</t>
  </si>
  <si>
    <t>CHEFE DE DEPARTAMENTO DO TRANSPORTE ESCOLAR</t>
  </si>
  <si>
    <t>franzwillians@gmail.com</t>
  </si>
  <si>
    <t xml:space="preserve">Franz Willians Coimbra Martins </t>
  </si>
  <si>
    <t>851.073.361-91</t>
  </si>
  <si>
    <t>(67)99337-0272</t>
  </si>
  <si>
    <t>Cassilândia</t>
  </si>
  <si>
    <t>Gerente de frota</t>
  </si>
  <si>
    <t>Estamos tentando otimizar nosso transporte escolar conforme a legislação. Mas encontramos muita resistência com os pais. dos alunos.</t>
  </si>
  <si>
    <t>romeugoulart@gmail.com</t>
  </si>
  <si>
    <t>Romeu Goulart da Silva</t>
  </si>
  <si>
    <t>312.097.501-04</t>
  </si>
  <si>
    <t>(67)98129-2310</t>
  </si>
  <si>
    <t>Escriturário Transporte Escolar Municipal</t>
  </si>
  <si>
    <t>prof_jcarvalho@outlook.com</t>
  </si>
  <si>
    <t>Jucimar Carvalho Chaves</t>
  </si>
  <si>
    <t>031.051.231-05</t>
  </si>
  <si>
    <t>(67)99172-4459</t>
  </si>
  <si>
    <t>Coronel Sapucaia</t>
  </si>
  <si>
    <t xml:space="preserve">Técnico </t>
  </si>
  <si>
    <t>rosenimartins_freitas@hotmail.com</t>
  </si>
  <si>
    <t xml:space="preserve">Roseni Martins Freitas </t>
  </si>
  <si>
    <t>555.905.001-68</t>
  </si>
  <si>
    <t>(67)99956-2977</t>
  </si>
  <si>
    <t xml:space="preserve">Secretária de Educação e Cultura </t>
  </si>
  <si>
    <t>cleberfaria5552@gmail.com</t>
  </si>
  <si>
    <t xml:space="preserve">Cleber Roza de Faria </t>
  </si>
  <si>
    <t>982.073.261-15</t>
  </si>
  <si>
    <t>(67)99906-3441</t>
  </si>
  <si>
    <t>Deodápolis</t>
  </si>
  <si>
    <t>Recepcionista</t>
  </si>
  <si>
    <t>tania.salmeida@hotmail.com</t>
  </si>
  <si>
    <t>TÂNIA REGINA DOS SANTOS ALMEIDA</t>
  </si>
  <si>
    <t>637.035.051-68</t>
  </si>
  <si>
    <t>(67)99648-1099</t>
  </si>
  <si>
    <t>Douradina</t>
  </si>
  <si>
    <t>TÉCNICO DO TRANSPORTE ESCOLAR</t>
  </si>
  <si>
    <t>gustavo.texeira33@gmail.com</t>
  </si>
  <si>
    <t>Gustavo Texeira Silva</t>
  </si>
  <si>
    <t>070.308.241-80</t>
  </si>
  <si>
    <t>(67)99691-2218</t>
  </si>
  <si>
    <t>Dourados</t>
  </si>
  <si>
    <t>Responsável pelo transporte Escolar da Prefeitura de Dourados</t>
  </si>
  <si>
    <t>luizaquevedonascimento@gmail.com</t>
  </si>
  <si>
    <t xml:space="preserve">Luiza Quevedo Nascimento </t>
  </si>
  <si>
    <t>065.889.541-90</t>
  </si>
  <si>
    <t>(67)99938-1694</t>
  </si>
  <si>
    <t xml:space="preserve">Assistente administrativo </t>
  </si>
  <si>
    <t>maria_augustha@hotmail.com</t>
  </si>
  <si>
    <t xml:space="preserve">Maria Augustha Espíndola Domingues </t>
  </si>
  <si>
    <t>000.249.231-84</t>
  </si>
  <si>
    <t>(67)99971-2118</t>
  </si>
  <si>
    <t xml:space="preserve">Conselheira representante secretaria municipal de educação de dourados </t>
  </si>
  <si>
    <t>vivianne_pf@hotmail.com</t>
  </si>
  <si>
    <t xml:space="preserve">Viviane Mantovani </t>
  </si>
  <si>
    <t>829.613.871-91</t>
  </si>
  <si>
    <t>(66)99604-2529</t>
  </si>
  <si>
    <t xml:space="preserve">Conselheiro </t>
  </si>
  <si>
    <t>nunesclaudinei628@gmail.com</t>
  </si>
  <si>
    <t>Claudinei Nunes</t>
  </si>
  <si>
    <t>035.212.591-88</t>
  </si>
  <si>
    <t>(67)99172-2974</t>
  </si>
  <si>
    <t>Eldorado</t>
  </si>
  <si>
    <t>Vice-presidente</t>
  </si>
  <si>
    <t>camilosanches2247@hotmail.com</t>
  </si>
  <si>
    <t xml:space="preserve">José Camilo Sanches </t>
  </si>
  <si>
    <t>312.780.271-49</t>
  </si>
  <si>
    <t>(67)99698-7171</t>
  </si>
  <si>
    <t xml:space="preserve">Diretor de Transporte </t>
  </si>
  <si>
    <t>professorasuelli@gmail.com</t>
  </si>
  <si>
    <t xml:space="preserve">Sueli Menezes da Silva </t>
  </si>
  <si>
    <t>480.712.501-04</t>
  </si>
  <si>
    <t>(67)99617-5907</t>
  </si>
  <si>
    <t>Glória de Dourados</t>
  </si>
  <si>
    <t>TÉCNICA</t>
  </si>
  <si>
    <t>maurosanp_@hotmail.com</t>
  </si>
  <si>
    <t xml:space="preserve">Mauro San pereira da Silva </t>
  </si>
  <si>
    <t>038.697.801-85</t>
  </si>
  <si>
    <t>(67)99677-7013</t>
  </si>
  <si>
    <t>Iguatemi</t>
  </si>
  <si>
    <t xml:space="preserve">Gestor transporte </t>
  </si>
  <si>
    <t>crodoaldosp@hotmail.com</t>
  </si>
  <si>
    <t>Crodoaldo Spessoto Prado</t>
  </si>
  <si>
    <t>489.415.901-59</t>
  </si>
  <si>
    <t>(67)99836-4443</t>
  </si>
  <si>
    <t>Itaporã</t>
  </si>
  <si>
    <t>Conselho</t>
  </si>
  <si>
    <t>joaojoao515@gmail.com</t>
  </si>
  <si>
    <t>João Pereira Alves</t>
  </si>
  <si>
    <t>356.418.431-72</t>
  </si>
  <si>
    <t>(67)99619-8565</t>
  </si>
  <si>
    <t>Diretor de Departamento deTransporte Escolar</t>
  </si>
  <si>
    <t>Jonsongeduita@gmail.com</t>
  </si>
  <si>
    <t>Jonson Carvalho Miranda</t>
  </si>
  <si>
    <t>814.407.581-15</t>
  </si>
  <si>
    <t>(67)99624-8316</t>
  </si>
  <si>
    <t>Diretor de Departamento de Controle e Prestação de Contas</t>
  </si>
  <si>
    <t>milton.micco@itapora.ms.gov.br</t>
  </si>
  <si>
    <t>Milton Cesar de Micco</t>
  </si>
  <si>
    <t>437.570.061-00</t>
  </si>
  <si>
    <t>(67)99643-7631</t>
  </si>
  <si>
    <t>luzinel01@gmail.com</t>
  </si>
  <si>
    <t>LUZINEL SOCORRO DO NASCIMENTO</t>
  </si>
  <si>
    <t>802.739.041-91</t>
  </si>
  <si>
    <t>(67)98209-6325</t>
  </si>
  <si>
    <t>Itaquiraí</t>
  </si>
  <si>
    <t>AUXILIAR SERVIÇOS TÉCNICOS</t>
  </si>
  <si>
    <t>montilegal171@hotmail.com</t>
  </si>
  <si>
    <t>Vagner Pereira Fernandes</t>
  </si>
  <si>
    <t>555.696.501-30</t>
  </si>
  <si>
    <t>(67)99657-9030</t>
  </si>
  <si>
    <t>DIRETOR DE TRANSPORTE ESCOLAR</t>
  </si>
  <si>
    <t>WAGNER PEREIRA FERNANDES</t>
  </si>
  <si>
    <t>lucianomorisco@hotmail.com</t>
  </si>
  <si>
    <t>Luciano Morisco Rapchan</t>
  </si>
  <si>
    <t>447.812.531-72</t>
  </si>
  <si>
    <t>(67)99648-3181</t>
  </si>
  <si>
    <t>Ivinhema</t>
  </si>
  <si>
    <t>Assistente de Administração</t>
  </si>
  <si>
    <t>narahbraguini@gmail.com</t>
  </si>
  <si>
    <t>Nara Henrique Braguini</t>
  </si>
  <si>
    <t>023.395.351-58</t>
  </si>
  <si>
    <t>(67)99971-3774</t>
  </si>
  <si>
    <t>Coordenadora</t>
  </si>
  <si>
    <t>valdenirmalheiros@hotmail.com</t>
  </si>
  <si>
    <t>Valdenir Malheiros de Castro</t>
  </si>
  <si>
    <t>555.735.331-34</t>
  </si>
  <si>
    <t>(67)99807-9014</t>
  </si>
  <si>
    <t>Japorã</t>
  </si>
  <si>
    <t>alimentar o programa sete</t>
  </si>
  <si>
    <t>valdineipavanelli@hotmail.com</t>
  </si>
  <si>
    <t>valdinei da silva pavanelli</t>
  </si>
  <si>
    <t>000.371.471-37</t>
  </si>
  <si>
    <t>(67)98140-1864</t>
  </si>
  <si>
    <t>chefe de divisão do transporte escolar</t>
  </si>
  <si>
    <t>semecel@jatei.ms.gov.br</t>
  </si>
  <si>
    <t>AUTENIR RODRIGUES DE LIMA</t>
  </si>
  <si>
    <t>825.762.621-04</t>
  </si>
  <si>
    <t>(67)99911-2198</t>
  </si>
  <si>
    <t>Jateí</t>
  </si>
  <si>
    <t>MEMBRO</t>
  </si>
  <si>
    <t>RAUL FERNANDO GARCIA</t>
  </si>
  <si>
    <t>592.634.901-04</t>
  </si>
  <si>
    <t>(67)99602-6840</t>
  </si>
  <si>
    <t>SECRETÁRIO MUNICIPAL DE EDUCAÇÃO</t>
  </si>
  <si>
    <t>THIAGO RODRIGUES DOS REIS</t>
  </si>
  <si>
    <t>012.494.461-20</t>
  </si>
  <si>
    <t>(67)99848-6764</t>
  </si>
  <si>
    <t>andreluizgomes5691@gmail.com</t>
  </si>
  <si>
    <t>Andre Luiz Gomes da Silva</t>
  </si>
  <si>
    <t>038.713.231-79</t>
  </si>
  <si>
    <t>(67)98475-4680</t>
  </si>
  <si>
    <t>Juti</t>
  </si>
  <si>
    <t>Diretor do Departamento do Transporte Escolar</t>
  </si>
  <si>
    <t>carol_juti@hotmail.com</t>
  </si>
  <si>
    <t>Carolina Fernandes Paes de Almeida</t>
  </si>
  <si>
    <t>905.700.301-53</t>
  </si>
  <si>
    <t>(67)98448-6815</t>
  </si>
  <si>
    <t>Agente administrativo</t>
  </si>
  <si>
    <t>danimedina826@gmail.com</t>
  </si>
  <si>
    <t>ADINEIA APARECIDA ZADROSKI DUARTE</t>
  </si>
  <si>
    <t>506.447.341-91</t>
  </si>
  <si>
    <t>(67)99951-1189</t>
  </si>
  <si>
    <t>Laguna Carapã</t>
  </si>
  <si>
    <t>técnico administrativo</t>
  </si>
  <si>
    <t>daniela medina arguelho</t>
  </si>
  <si>
    <t>083.222.581-94</t>
  </si>
  <si>
    <t>(67)99852-3934</t>
  </si>
  <si>
    <t>técnico</t>
  </si>
  <si>
    <t>Sônia Regina Meireles Lago</t>
  </si>
  <si>
    <t>063.006.468-74</t>
  </si>
  <si>
    <t>(67)99923-8890</t>
  </si>
  <si>
    <t>dr.diego.ribeiro25@gmail.com</t>
  </si>
  <si>
    <t>DIEGO RIBEIRO</t>
  </si>
  <si>
    <t>355.073.268-60</t>
  </si>
  <si>
    <t>(67)99139-1611</t>
  </si>
  <si>
    <t>TÉCNICO</t>
  </si>
  <si>
    <t>dinamarfreitas@hotmail.com</t>
  </si>
  <si>
    <t>Dinamar de Souza Freitas</t>
  </si>
  <si>
    <t>832.356.201-68</t>
  </si>
  <si>
    <t>(67)99671-6678</t>
  </si>
  <si>
    <t>Maracaju</t>
  </si>
  <si>
    <t xml:space="preserve">Conselheira Tutelar </t>
  </si>
  <si>
    <t>gabrielbcosta09091994@gmail.com</t>
  </si>
  <si>
    <t>Gabriel Barbosa Costa</t>
  </si>
  <si>
    <t>050.776.421-84</t>
  </si>
  <si>
    <t>(67)98103-8391</t>
  </si>
  <si>
    <t>Prestação de Contas</t>
  </si>
  <si>
    <t>Houve troca de gestão, mas não teve processo de transição, a antiga gestão não nos apresentou nada</t>
  </si>
  <si>
    <t>educacao.matriculadigital@maracaju.ms.gov.br</t>
  </si>
  <si>
    <t>Diretor de Departamento DAS-4</t>
  </si>
  <si>
    <t>Sim, sou da nova gestão desse ano em diante</t>
  </si>
  <si>
    <t>Conselheira</t>
  </si>
  <si>
    <t>ricartegv@outlook.com.br</t>
  </si>
  <si>
    <t xml:space="preserve">Gabriel Vinicius Ricarte Pedrozo </t>
  </si>
  <si>
    <t>070.184.021-82</t>
  </si>
  <si>
    <t>(67)99178-0319</t>
  </si>
  <si>
    <t xml:space="preserve">Auxiliar de secretaria do transporte </t>
  </si>
  <si>
    <t xml:space="preserve">Mudança de gestão e ingresso de novos servidores </t>
  </si>
  <si>
    <t>patricnascimentodasilva@gmail.com</t>
  </si>
  <si>
    <t>Patric Nascimento da Silva</t>
  </si>
  <si>
    <t>032.323.241-85</t>
  </si>
  <si>
    <t>(67)99935-6261</t>
  </si>
  <si>
    <t>Diretor de transporte</t>
  </si>
  <si>
    <t>frota@mundonovo.gov.ms.br</t>
  </si>
  <si>
    <t>Willian Carlos Magi Santos</t>
  </si>
  <si>
    <t>732.767.072-68</t>
  </si>
  <si>
    <t>(67)99611-1941</t>
  </si>
  <si>
    <t>Mundo Novo</t>
  </si>
  <si>
    <t>Diretor de Transporte e Frota</t>
  </si>
  <si>
    <t>frota@mundonovo.ms.gov.br</t>
  </si>
  <si>
    <t>Willian Carlos magi santos</t>
  </si>
  <si>
    <t>aninhap882@gmail.com</t>
  </si>
  <si>
    <t xml:space="preserve">Ana da Silva Pinheiro </t>
  </si>
  <si>
    <t>922.710.221-34</t>
  </si>
  <si>
    <t>(67)99977-7990</t>
  </si>
  <si>
    <t>Naviraí</t>
  </si>
  <si>
    <t xml:space="preserve">Auxiliar administrativo transporte escolar </t>
  </si>
  <si>
    <t>Ônibus todos rastreados</t>
  </si>
  <si>
    <t>cami_edu_domingos@hotmail.com</t>
  </si>
  <si>
    <t xml:space="preserve">Carla Cristiane Silva Rocha Cunha </t>
  </si>
  <si>
    <t>888.127.741-72</t>
  </si>
  <si>
    <t>(67)99913-8834</t>
  </si>
  <si>
    <t>Presidente</t>
  </si>
  <si>
    <t>carlosstabenow@hotmail.com</t>
  </si>
  <si>
    <t>Carlos Eduardo Stabenow Minari</t>
  </si>
  <si>
    <t>931.593.741-49</t>
  </si>
  <si>
    <t>(67)99965-9471</t>
  </si>
  <si>
    <t>Gerente de equipe de unidades escolares</t>
  </si>
  <si>
    <t>claudiopigossobrasil@gmail.com</t>
  </si>
  <si>
    <t xml:space="preserve">Claudio pigosso </t>
  </si>
  <si>
    <t>500.664.711-68</t>
  </si>
  <si>
    <t>(67)99879-6368</t>
  </si>
  <si>
    <t xml:space="preserve">Gerente de equipe do transporte escolar </t>
  </si>
  <si>
    <t>osmaralves1998@gmail.com</t>
  </si>
  <si>
    <t xml:space="preserve">Osmar Alves de Oliveira Sobrinho </t>
  </si>
  <si>
    <t>637.112.651-20</t>
  </si>
  <si>
    <t>(67)99697-8207</t>
  </si>
  <si>
    <t>Transporteescolar@novaalvoradadosul.ms.gov.br</t>
  </si>
  <si>
    <t xml:space="preserve">Ozeias Morais da Silva </t>
  </si>
  <si>
    <t>014.985.871-00</t>
  </si>
  <si>
    <t>(67)99678-2795</t>
  </si>
  <si>
    <t>Nova Alvorada do Sul</t>
  </si>
  <si>
    <t xml:space="preserve">Coordenador de transporte escolar </t>
  </si>
  <si>
    <t>ejas.emerson@gmail.com</t>
  </si>
  <si>
    <t xml:space="preserve">Emerson José Alves da Silva </t>
  </si>
  <si>
    <t>847.122.011-34</t>
  </si>
  <si>
    <t>(67)99808-1320</t>
  </si>
  <si>
    <t>Nova Andradina</t>
  </si>
  <si>
    <t xml:space="preserve">Diretor transporte escolar </t>
  </si>
  <si>
    <t>lucimara260379@gmail.com</t>
  </si>
  <si>
    <t xml:space="preserve">Lucimara Caccia Faverssiani </t>
  </si>
  <si>
    <t>897.614.721-91</t>
  </si>
  <si>
    <t>(67)99644-6575</t>
  </si>
  <si>
    <t xml:space="preserve">Conselheira </t>
  </si>
  <si>
    <t>ricardoappaixao1979@gmail.com</t>
  </si>
  <si>
    <t xml:space="preserve">Ricardo Aparecido da Paixão </t>
  </si>
  <si>
    <t>891.400.791-04</t>
  </si>
  <si>
    <t>(67)99909-7296</t>
  </si>
  <si>
    <t>silvana.sanches@ifms.edu.br</t>
  </si>
  <si>
    <t xml:space="preserve">Silvana Colombelli Parra Sanches </t>
  </si>
  <si>
    <t>960.116.021-34</t>
  </si>
  <si>
    <t>(67)99173-0771</t>
  </si>
  <si>
    <t xml:space="preserve">Conselheira titutal sociedade civil </t>
  </si>
  <si>
    <t>wagao1450@gmail.com</t>
  </si>
  <si>
    <t>Wagner Carlos Perigo</t>
  </si>
  <si>
    <t>781.910.091-53</t>
  </si>
  <si>
    <t>(67)99994-4791</t>
  </si>
  <si>
    <t>Secretário Municipal de Educação Cultura e Esporte</t>
  </si>
  <si>
    <t>anderson-2511@hotmail.com</t>
  </si>
  <si>
    <t>Anderson Oliveira Souza</t>
  </si>
  <si>
    <t>045.727.011-05</t>
  </si>
  <si>
    <t>(67)98452-5260</t>
  </si>
  <si>
    <t>Novo Horizonte do Sul</t>
  </si>
  <si>
    <t>Técnico Administrativo</t>
  </si>
  <si>
    <t>crissfrangiotti@gmail.com</t>
  </si>
  <si>
    <t xml:space="preserve">Maria Cristina Frangiotti </t>
  </si>
  <si>
    <t>921.493.321-91</t>
  </si>
  <si>
    <t>(67)98445-1879</t>
  </si>
  <si>
    <t xml:space="preserve">Membro </t>
  </si>
  <si>
    <t>eliana.quadra@hotmail.com</t>
  </si>
  <si>
    <t xml:space="preserve">Eliana lopes Pereira </t>
  </si>
  <si>
    <t>942.327.681-49</t>
  </si>
  <si>
    <t>(67)99913-6007</t>
  </si>
  <si>
    <t>Paranhos</t>
  </si>
  <si>
    <t xml:space="preserve">conselheira </t>
  </si>
  <si>
    <t>fagnergalina33@gmail.com</t>
  </si>
  <si>
    <t xml:space="preserve">Fagner Rodrigues Galina </t>
  </si>
  <si>
    <t>046.804.109-57</t>
  </si>
  <si>
    <t>(67)99653-5397</t>
  </si>
  <si>
    <t xml:space="preserve">Diretor de Transporte Escolar </t>
  </si>
  <si>
    <t>jaque_hernacki@hotmail.com</t>
  </si>
  <si>
    <t xml:space="preserve">Jaqueline Hernacki </t>
  </si>
  <si>
    <t>023.145.741-33</t>
  </si>
  <si>
    <t>(67)99962-9226</t>
  </si>
  <si>
    <t xml:space="preserve">Tecnica de prestação de contas </t>
  </si>
  <si>
    <t>guilhermemateus348@gmail.com</t>
  </si>
  <si>
    <t>guilherme mateus silva cardoso</t>
  </si>
  <si>
    <t>086.228.041-94</t>
  </si>
  <si>
    <t>(67)99178-8895</t>
  </si>
  <si>
    <t>Ponta Porã</t>
  </si>
  <si>
    <t>Assistente no setor de transporte escolar</t>
  </si>
  <si>
    <t>luciana_fmatos@hotmail.com</t>
  </si>
  <si>
    <t xml:space="preserve">Luciana Ferriol de Matos </t>
  </si>
  <si>
    <t>506.487.641-68</t>
  </si>
  <si>
    <t>(67)99983-5384</t>
  </si>
  <si>
    <t>luciano_mcm@hotmail.com</t>
  </si>
  <si>
    <t>Luciano Marques da Costa Martins</t>
  </si>
  <si>
    <t>899.070.941-53</t>
  </si>
  <si>
    <t>(67)98419-2006</t>
  </si>
  <si>
    <t>Gerente do Transporte Escolar</t>
  </si>
  <si>
    <t>maurinha1964@gmail.com</t>
  </si>
  <si>
    <t xml:space="preserve">Maurici Nascimento Silva </t>
  </si>
  <si>
    <t>913.159.131-00</t>
  </si>
  <si>
    <t>(67)99856-6954</t>
  </si>
  <si>
    <t xml:space="preserve">Conselheira representante do Ensino público </t>
  </si>
  <si>
    <t>analuizavenite@gmail.com</t>
  </si>
  <si>
    <t>Ana Luiza Venite Gama</t>
  </si>
  <si>
    <t>058.764.141-07</t>
  </si>
  <si>
    <t>(67)99826-1253</t>
  </si>
  <si>
    <t>Rio Brilhante</t>
  </si>
  <si>
    <t xml:space="preserve">Gestor de núcleo - Convenios e prestação de contas </t>
  </si>
  <si>
    <t>marisantin6@gmail.com</t>
  </si>
  <si>
    <t xml:space="preserve">Marilete Santin </t>
  </si>
  <si>
    <t>009.602.231-00</t>
  </si>
  <si>
    <t>(67)99954-7035</t>
  </si>
  <si>
    <t>Representante Escolas do Campo</t>
  </si>
  <si>
    <t>thaine.stefani@gmail.com</t>
  </si>
  <si>
    <t xml:space="preserve">Thaine Stefani dos Santos </t>
  </si>
  <si>
    <t>034.548.621-83</t>
  </si>
  <si>
    <t>(67)99682-0430</t>
  </si>
  <si>
    <t xml:space="preserve">ass de administração </t>
  </si>
  <si>
    <t>uesley.u@gmail.com</t>
  </si>
  <si>
    <t>Uesley Souza</t>
  </si>
  <si>
    <t>041.510.051-88</t>
  </si>
  <si>
    <t>(67)99933-1714</t>
  </si>
  <si>
    <t>joelbaferreiragomes@gmail.com</t>
  </si>
  <si>
    <t xml:space="preserve">Joelba Ferreira Gomes </t>
  </si>
  <si>
    <t>501.461.651-87</t>
  </si>
  <si>
    <t>(67)99996-9080</t>
  </si>
  <si>
    <t>Sete Quedas</t>
  </si>
  <si>
    <t>Coordenação</t>
  </si>
  <si>
    <t>criswentzprestes@outlook.com.br</t>
  </si>
  <si>
    <t xml:space="preserve">Crislaine wentz ferreira </t>
  </si>
  <si>
    <t>985.453.291-72</t>
  </si>
  <si>
    <t>(67)99166-5353</t>
  </si>
  <si>
    <t>Membro</t>
  </si>
  <si>
    <t>simaoschuh1@gmail.com</t>
  </si>
  <si>
    <t xml:space="preserve">Simão Sirineu Schuh Dias </t>
  </si>
  <si>
    <t>033.593.471-45</t>
  </si>
  <si>
    <t>(67)99627-7244</t>
  </si>
  <si>
    <t>Representante de pais e alunos</t>
  </si>
  <si>
    <t>semec@taquarussu.ms.gov.br</t>
  </si>
  <si>
    <t>Amanda Gonsales de Lima</t>
  </si>
  <si>
    <t>035.584.901-18</t>
  </si>
  <si>
    <t>(67)99930-3357</t>
  </si>
  <si>
    <t>Taquarussu</t>
  </si>
  <si>
    <t>Auxiliar administrativo</t>
  </si>
  <si>
    <t>Marcio de souza santos</t>
  </si>
  <si>
    <t>018.880.441-28</t>
  </si>
  <si>
    <t>(67)99639-3728</t>
  </si>
  <si>
    <t>Diretor do transporte</t>
  </si>
  <si>
    <t>Maria Rosely Andrade dos Santos</t>
  </si>
  <si>
    <t>511.394.051-87</t>
  </si>
  <si>
    <t>(67)99663-1093</t>
  </si>
  <si>
    <t>milenezamai@gmail.com</t>
  </si>
  <si>
    <t xml:space="preserve">Milene Bindilatti Zamai Crivelli </t>
  </si>
  <si>
    <t>899.884.261-00</t>
  </si>
  <si>
    <t>(67)99963-2139</t>
  </si>
  <si>
    <t>Encarrego do setor de prestação de contas</t>
  </si>
  <si>
    <t>delmaaraujo1973@hotmail.com</t>
  </si>
  <si>
    <t xml:space="preserve">Delma Eugênia de Araújo </t>
  </si>
  <si>
    <t>562.142.511-15</t>
  </si>
  <si>
    <t>(67)99676-9368</t>
  </si>
  <si>
    <t>Vicentina</t>
  </si>
  <si>
    <t>Cidade</t>
  </si>
  <si>
    <t>Data</t>
  </si>
  <si>
    <t>Fátima do Sul</t>
  </si>
  <si>
    <t>Tacuru</t>
  </si>
  <si>
    <t>Telefone (XX)XXXXX-XXXX</t>
  </si>
  <si>
    <t>Dinamar de Souza Freita</t>
  </si>
  <si>
    <t>CDM</t>
  </si>
  <si>
    <t>NOME</t>
  </si>
  <si>
    <t>DIST(km)</t>
  </si>
  <si>
    <t>Todos</t>
  </si>
  <si>
    <t>Quantidade</t>
  </si>
  <si>
    <t>CACS</t>
  </si>
  <si>
    <t>Municípios com representante inscrito</t>
  </si>
  <si>
    <t>Pessoas Inscritas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</si>
</sst>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/mm/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color rgb="FFFF0000"/>
      <name val="Arial"/>
      <scheme val="minor"/>
    </font>
    <font>
      <color rgb="FFFFFFFF"/>
      <name val="Arial"/>
    </font>
    <font>
      <color theme="1"/>
      <name val="Arial"/>
    </font>
    <font>
      <b/>
      <color rgb="FFFF0000"/>
      <name val="Arial"/>
    </font>
    <font>
      <b/>
      <color theme="1"/>
      <name val="Arial"/>
    </font>
    <font/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2" fontId="1" numFmtId="164" xfId="0" applyAlignment="1" applyFill="1" applyFont="1" applyNumberFormat="1">
      <alignment readingOrder="0"/>
    </xf>
    <xf borderId="0" fillId="2" fontId="1" numFmtId="14" xfId="0" applyAlignment="1" applyFill="1" applyFont="1" applyNumberFormat="1">
      <alignment readingOrder="0"/>
    </xf>
    <xf borderId="0" fillId="2" fontId="1" numFmtId="0" xfId="0" applyFill="1" applyFont="1"/>
    <xf borderId="0" fillId="2" fontId="1" numFmtId="165" xfId="0" applyFill="1" applyFont="1" applyNumberFormat="1"/>
    <xf borderId="0" fillId="3" fontId="1" numFmtId="164" xfId="0" applyAlignment="1" applyFill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1" numFmtId="14" xfId="0" applyAlignment="1" applyFill="1" applyFont="1" applyNumberFormat="1">
      <alignment readingOrder="0"/>
    </xf>
    <xf borderId="0" fillId="3" fontId="1" numFmtId="0" xfId="0" applyFill="1" applyFont="1"/>
    <xf borderId="0" fillId="3" fontId="1" numFmtId="165" xfId="0" applyFill="1" applyFont="1" applyNumberFormat="1"/>
    <xf borderId="0" fillId="2" fontId="4" numFmtId="164" xfId="0" applyAlignment="1" applyFill="1" applyFont="1" applyNumberFormat="1">
      <alignment readingOrder="0"/>
    </xf>
    <xf borderId="0" fillId="2" fontId="4" numFmtId="0" xfId="0" applyAlignment="1" applyFill="1" applyFont="1">
      <alignment readingOrder="0"/>
    </xf>
    <xf borderId="0" fillId="2" fontId="4" numFmtId="14" xfId="0" applyAlignment="1" applyFill="1" applyFont="1" applyNumberFormat="1">
      <alignment readingOrder="0"/>
    </xf>
    <xf borderId="0" fillId="2" fontId="4" numFmtId="0" xfId="0" applyFill="1" applyFont="1"/>
    <xf borderId="0" fillId="2" fontId="1" numFmtId="164" xfId="0" applyAlignment="1" applyFill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14" xfId="0" applyAlignment="1" applyFill="1" applyFont="1" applyNumberFormat="1">
      <alignment readingOrder="0"/>
    </xf>
    <xf borderId="0" fillId="2" fontId="1" numFmtId="0" xfId="0" applyFill="1" applyFont="1"/>
    <xf borderId="0" fillId="4" fontId="5" numFmtId="0" xfId="0" applyAlignment="1" applyFill="1" applyFont="1">
      <alignment horizontal="center" vertical="bottom"/>
    </xf>
    <xf borderId="0" fillId="4" fontId="5" numFmtId="0" xfId="0" applyAlignment="1" applyFill="1" applyFont="1">
      <alignment vertical="bottom"/>
    </xf>
    <xf borderId="0" fillId="5" fontId="6" numFmtId="0" xfId="0" applyAlignment="1" applyFill="1" applyFont="1">
      <alignment vertical="bottom"/>
    </xf>
    <xf borderId="1" fillId="6" fontId="6" numFmtId="0" xfId="0" applyAlignment="1" applyBorder="1" applyFill="1" applyFont="1">
      <alignment horizontal="center" vertical="bottom"/>
    </xf>
    <xf borderId="1" fillId="6" fontId="6" numFmtId="0" xfId="0" applyAlignment="1" applyBorder="1" applyFill="1" applyFont="1">
      <alignment readingOrder="0" vertical="bottom"/>
    </xf>
    <xf borderId="1" fillId="6" fontId="6" numFmtId="0" xfId="0" applyAlignment="1" applyBorder="1" applyFill="1" applyFont="1">
      <alignment vertical="bottom"/>
    </xf>
    <xf borderId="1" fillId="7" fontId="7" numFmtId="0" xfId="0" applyAlignment="1" applyBorder="1" applyFill="1" applyFont="1">
      <alignment horizontal="center" vertical="bottom"/>
    </xf>
    <xf borderId="1" fillId="0" fontId="1" numFmtId="165" xfId="0" applyBorder="1" applyFont="1" applyNumberFormat="1"/>
    <xf borderId="1" fillId="0" fontId="1" numFmtId="0" xfId="0" applyAlignment="1" applyBorder="1" applyFont="1">
      <alignment horizontal="center" readingOrder="0"/>
    </xf>
    <xf borderId="2" fillId="6" fontId="8" numFmtId="0" xfId="0" applyAlignment="1" applyBorder="1" applyFill="1" applyFont="1">
      <alignment horizontal="right" vertical="bottom"/>
    </xf>
    <xf borderId="3" fillId="0" fontId="9" numFmtId="0" xfId="0" applyBorder="1" applyFont="1"/>
    <xf borderId="4" fillId="0" fontId="9" numFmtId="0" xfId="0" applyBorder="1" applyFont="1"/>
    <xf borderId="2" fillId="6" fontId="8" numFmtId="0" xfId="0" applyAlignment="1" applyBorder="1" applyFill="1" applyFont="1">
      <alignment horizontal="right" readingOrder="0" vertical="bottom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color theme="0"/>
      </font>
      <fill>
        <patternFill patternType="solid">
          <fgColor rgb="FFFFFFFF"/>
          <bgColor rgb="FFFFFFFF"/>
        </patternFill>
      </fill>
      <border/>
    </dxf>
  </dxfs>
  <tableStyles count="3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s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2" pivot="0" name="Confirmados Via E-mail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94" displayName="Form_Responses1" name="Form_Responses1" id="1">
  <autoFilter ref="$A$1:$L$94"/>
  <tableColumns count="12">
    <tableColumn name="Carimbo de data/hora" id="1"/>
    <tableColumn name="Endereço de e-mail" id="2"/>
    <tableColumn name="Nome Completo:" id="3"/>
    <tableColumn name="CPF" id="4"/>
    <tableColumn name="Data de Nascimento" id="5"/>
    <tableColumn name="Telefone (XX)XXXXX-XXXX" id="6"/>
    <tableColumn name="Município que representa:" id="7"/>
    <tableColumn name="Você faz parte do:" id="8"/>
    <tableColumn name="Que cargo você ocupa na gestão municipal?" id="9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0"/>
    <tableColumn name="Que cargo você ocupa no CACS-FUNDEB?" id="11"/>
    <tableColumn name="Dia" id="12"/>
  </tableColumns>
  <tableStyleInfo name="Respostas ao formulário 1-style" showColumnStripes="0" showFirstColumn="1" showLastColumn="1" showRowStripes="1"/>
</table>
</file>

<file path=xl/tables/table2.xml><?xml version="1.0" encoding="utf-8"?>
<table xmlns="http://schemas.openxmlformats.org/spreadsheetml/2006/main" ref="A1:B37" displayName="Tabela_1" name="Tabela_1" id="2">
  <tableColumns count="2">
    <tableColumn name="Cidade" id="1"/>
    <tableColumn name="Data" id="2"/>
  </tableColumns>
  <tableStyleInfo name="Datas-style" showColumnStripes="0" showFirstColumn="1" showLastColumn="1" showRowStripes="1"/>
</table>
</file>

<file path=xl/tables/table3.xml><?xml version="1.0" encoding="utf-8"?>
<table xmlns="http://schemas.openxmlformats.org/spreadsheetml/2006/main" headerRowCount="0" ref="A57:L92" displayName="Table_1" name="Table_1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nfirmados Via E-mai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4" width="18.88"/>
    <col customWidth="1" min="5" max="5" width="20.13"/>
    <col customWidth="1" min="6" max="6" width="24.88"/>
    <col customWidth="1" min="7" max="7" width="24.13"/>
    <col customWidth="1" min="8" max="8" width="18.88"/>
    <col customWidth="1" min="9" max="9" width="37.25"/>
    <col customWidth="1" min="10" max="10" width="37.63"/>
    <col customWidth="1" min="11" max="11" width="35.63"/>
    <col customWidth="1" min="12" max="17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4" t="s">
        <v>11</v>
      </c>
    </row>
    <row r="2" ht="22.5" customHeight="1">
      <c r="A2" s="5">
        <v>45737.472978969905</v>
      </c>
      <c r="B2" s="6" t="s">
        <v>12</v>
      </c>
      <c r="C2" s="6" t="s">
        <v>13</v>
      </c>
      <c r="D2" s="6" t="s">
        <v>14</v>
      </c>
      <c r="E2" s="7">
        <v>29703.0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L2" s="8">
        <f>VLOOKUP(G2,Datas!$A$1:$B$50,2,FALSE)</f>
        <v>45749</v>
      </c>
    </row>
    <row r="3" ht="22.5" customHeight="1">
      <c r="A3" s="5">
        <v>45741.4379587963</v>
      </c>
      <c r="B3" s="6" t="s">
        <v>20</v>
      </c>
      <c r="C3" s="6" t="s">
        <v>21</v>
      </c>
      <c r="D3" s="6" t="s">
        <v>22</v>
      </c>
      <c r="E3" s="7">
        <v>28265.0</v>
      </c>
      <c r="F3" s="6" t="s">
        <v>23</v>
      </c>
      <c r="G3" s="6" t="s">
        <v>16</v>
      </c>
      <c r="H3" s="6" t="s">
        <v>24</v>
      </c>
      <c r="K3" s="6" t="s">
        <v>25</v>
      </c>
      <c r="L3" s="8">
        <f>VLOOKUP(G3,Datas!$A$1:$B$50,2,FALSE)</f>
        <v>45749</v>
      </c>
    </row>
    <row r="4" ht="22.5" customHeight="1">
      <c r="A4" s="5">
        <v>45737.543490509255</v>
      </c>
      <c r="B4" s="6" t="s">
        <v>26</v>
      </c>
      <c r="C4" s="6" t="s">
        <v>27</v>
      </c>
      <c r="D4" s="6" t="s">
        <v>28</v>
      </c>
      <c r="E4" s="7">
        <v>21421.0</v>
      </c>
      <c r="F4" s="6" t="s">
        <v>29</v>
      </c>
      <c r="G4" s="6" t="s">
        <v>16</v>
      </c>
      <c r="H4" s="6" t="s">
        <v>24</v>
      </c>
      <c r="K4" s="6" t="s">
        <v>30</v>
      </c>
      <c r="L4" s="8">
        <f>VLOOKUP(G4,Datas!$A$1:$B$50,2,FALSE)</f>
        <v>45749</v>
      </c>
    </row>
    <row r="5" ht="22.5" customHeight="1">
      <c r="A5" s="5">
        <v>45748.479056956014</v>
      </c>
      <c r="B5" s="6" t="s">
        <v>31</v>
      </c>
      <c r="C5" s="6" t="s">
        <v>32</v>
      </c>
      <c r="D5" s="6" t="s">
        <v>33</v>
      </c>
      <c r="E5" s="7">
        <v>31923.0</v>
      </c>
      <c r="F5" s="6" t="s">
        <v>34</v>
      </c>
      <c r="G5" s="6" t="s">
        <v>16</v>
      </c>
      <c r="H5" s="6" t="s">
        <v>17</v>
      </c>
      <c r="I5" s="6" t="s">
        <v>35</v>
      </c>
      <c r="J5" s="6" t="s">
        <v>36</v>
      </c>
      <c r="L5" s="9">
        <f>VLOOKUP(G5,Datas!$A$1:$B$50,2,FALSE)</f>
        <v>45749</v>
      </c>
    </row>
    <row r="6" ht="22.5" customHeight="1">
      <c r="A6" s="5">
        <v>45747.68789523148</v>
      </c>
      <c r="B6" s="6" t="s">
        <v>37</v>
      </c>
      <c r="C6" s="6" t="s">
        <v>38</v>
      </c>
      <c r="D6" s="6" t="s">
        <v>39</v>
      </c>
      <c r="E6" s="7">
        <v>24597.0</v>
      </c>
      <c r="F6" s="6" t="s">
        <v>40</v>
      </c>
      <c r="G6" s="6" t="s">
        <v>16</v>
      </c>
      <c r="H6" s="6" t="s">
        <v>17</v>
      </c>
      <c r="I6" s="6" t="s">
        <v>41</v>
      </c>
      <c r="L6" s="9">
        <f>VLOOKUP(G6,Datas!$A$1:$B$50,2,FALSE)</f>
        <v>45749</v>
      </c>
    </row>
    <row r="7" ht="22.5" customHeight="1">
      <c r="A7" s="5">
        <v>45747.40829564814</v>
      </c>
      <c r="B7" s="6" t="s">
        <v>42</v>
      </c>
      <c r="C7" s="6" t="s">
        <v>43</v>
      </c>
      <c r="D7" s="6" t="s">
        <v>44</v>
      </c>
      <c r="E7" s="7">
        <v>29614.0</v>
      </c>
      <c r="F7" s="6" t="s">
        <v>45</v>
      </c>
      <c r="G7" s="6" t="s">
        <v>16</v>
      </c>
      <c r="H7" s="6" t="s">
        <v>24</v>
      </c>
      <c r="K7" s="6" t="s">
        <v>46</v>
      </c>
      <c r="L7" s="9">
        <f>VLOOKUP(G7,Datas!$A$1:$B$50,2,FALSE)</f>
        <v>45749</v>
      </c>
    </row>
    <row r="8" ht="22.5" customHeight="1">
      <c r="A8" s="5">
        <v>45742.464447708335</v>
      </c>
      <c r="B8" s="6" t="s">
        <v>47</v>
      </c>
      <c r="C8" s="6" t="s">
        <v>48</v>
      </c>
      <c r="D8" s="6" t="s">
        <v>49</v>
      </c>
      <c r="E8" s="7">
        <v>21306.0</v>
      </c>
      <c r="F8" s="6" t="s">
        <v>50</v>
      </c>
      <c r="G8" s="6" t="s">
        <v>51</v>
      </c>
      <c r="H8" s="6" t="s">
        <v>17</v>
      </c>
      <c r="I8" s="6" t="s">
        <v>52</v>
      </c>
      <c r="L8" s="8">
        <f>VLOOKUP(G8,Datas!$A$1:$B$50,2,FALSE)</f>
        <v>45749</v>
      </c>
    </row>
    <row r="9" ht="22.5" customHeight="1">
      <c r="A9" s="5">
        <v>45742.461930844904</v>
      </c>
      <c r="B9" s="6" t="s">
        <v>47</v>
      </c>
      <c r="C9" s="6" t="s">
        <v>53</v>
      </c>
      <c r="D9" s="6" t="s">
        <v>54</v>
      </c>
      <c r="E9" s="7">
        <v>28554.0</v>
      </c>
      <c r="F9" s="6" t="s">
        <v>55</v>
      </c>
      <c r="G9" s="6" t="s">
        <v>51</v>
      </c>
      <c r="H9" s="6" t="s">
        <v>17</v>
      </c>
      <c r="I9" s="6" t="s">
        <v>56</v>
      </c>
      <c r="J9" s="6" t="s">
        <v>57</v>
      </c>
      <c r="L9" s="8">
        <f>VLOOKUP(G9,Datas!$A$1:$B$50,2,FALSE)</f>
        <v>45749</v>
      </c>
    </row>
    <row r="10" ht="22.5" customHeight="1">
      <c r="A10" s="5">
        <v>45748.43759508102</v>
      </c>
      <c r="B10" s="6" t="s">
        <v>58</v>
      </c>
      <c r="C10" s="6" t="s">
        <v>59</v>
      </c>
      <c r="D10" s="6" t="s">
        <v>60</v>
      </c>
      <c r="E10" s="7">
        <v>30850.0</v>
      </c>
      <c r="F10" s="6" t="s">
        <v>61</v>
      </c>
      <c r="G10" s="6" t="s">
        <v>62</v>
      </c>
      <c r="H10" s="6" t="s">
        <v>17</v>
      </c>
      <c r="I10" s="6" t="s">
        <v>63</v>
      </c>
      <c r="L10" s="9">
        <f>VLOOKUP(G10,Datas!$A$1:$B$50,2,FALSE)</f>
        <v>45749</v>
      </c>
    </row>
    <row r="11" ht="22.5" customHeight="1">
      <c r="A11" s="5">
        <v>45748.44729783565</v>
      </c>
      <c r="B11" s="6" t="s">
        <v>64</v>
      </c>
      <c r="C11" s="6" t="s">
        <v>65</v>
      </c>
      <c r="D11" s="6" t="s">
        <v>66</v>
      </c>
      <c r="E11" s="7">
        <v>37344.0</v>
      </c>
      <c r="F11" s="6" t="s">
        <v>67</v>
      </c>
      <c r="G11" s="6" t="s">
        <v>62</v>
      </c>
      <c r="H11" s="6" t="s">
        <v>17</v>
      </c>
      <c r="I11" s="6" t="s">
        <v>68</v>
      </c>
      <c r="L11" s="9">
        <f>VLOOKUP(G11,Datas!$A$1:$B$50,2,FALSE)</f>
        <v>45749</v>
      </c>
    </row>
    <row r="12" ht="22.5" customHeight="1">
      <c r="A12" s="5">
        <v>45747.74303633102</v>
      </c>
      <c r="B12" s="6" t="s">
        <v>69</v>
      </c>
      <c r="C12" s="6" t="s">
        <v>70</v>
      </c>
      <c r="D12" s="6" t="s">
        <v>71</v>
      </c>
      <c r="E12" s="7">
        <v>52961.0</v>
      </c>
      <c r="F12" s="6" t="s">
        <v>72</v>
      </c>
      <c r="G12" s="6" t="s">
        <v>73</v>
      </c>
      <c r="H12" s="6" t="s">
        <v>17</v>
      </c>
      <c r="I12" s="6" t="s">
        <v>74</v>
      </c>
      <c r="L12" s="9">
        <f>VLOOKUP(G12,Datas!$A$1:$B$50,2,FALSE)</f>
        <v>45749</v>
      </c>
    </row>
    <row r="13" ht="22.5" customHeight="1">
      <c r="A13" s="5">
        <v>45748.4548796875</v>
      </c>
      <c r="B13" s="6" t="s">
        <v>75</v>
      </c>
      <c r="C13" s="6" t="s">
        <v>76</v>
      </c>
      <c r="D13" s="6" t="s">
        <v>77</v>
      </c>
      <c r="E13" s="7">
        <v>29554.0</v>
      </c>
      <c r="F13" s="6" t="s">
        <v>78</v>
      </c>
      <c r="G13" s="6" t="s">
        <v>73</v>
      </c>
      <c r="H13" s="6" t="s">
        <v>17</v>
      </c>
      <c r="I13" s="6" t="s">
        <v>79</v>
      </c>
      <c r="L13" s="9">
        <f>VLOOKUP(G13,Datas!$A$1:$B$50,2,FALSE)</f>
        <v>45749</v>
      </c>
    </row>
    <row r="14" ht="22.5" customHeight="1">
      <c r="A14" s="5">
        <v>45743.85855833333</v>
      </c>
      <c r="B14" s="6" t="s">
        <v>80</v>
      </c>
      <c r="C14" s="6" t="s">
        <v>81</v>
      </c>
      <c r="D14" s="6" t="s">
        <v>82</v>
      </c>
      <c r="E14" s="7">
        <v>24785.0</v>
      </c>
      <c r="F14" s="6" t="s">
        <v>83</v>
      </c>
      <c r="G14" s="6" t="s">
        <v>84</v>
      </c>
      <c r="H14" s="6" t="s">
        <v>17</v>
      </c>
      <c r="I14" s="6" t="s">
        <v>85</v>
      </c>
      <c r="L14" s="8">
        <f>VLOOKUP(G14,Datas!$A$1:$B$50,2,FALSE)</f>
        <v>45749</v>
      </c>
    </row>
    <row r="15" ht="22.5" customHeight="1">
      <c r="A15" s="5">
        <v>45737.40186895833</v>
      </c>
      <c r="B15" s="6" t="s">
        <v>86</v>
      </c>
      <c r="C15" s="6" t="s">
        <v>87</v>
      </c>
      <c r="D15" s="6" t="s">
        <v>88</v>
      </c>
      <c r="E15" s="7">
        <v>31964.0</v>
      </c>
      <c r="F15" s="6" t="s">
        <v>89</v>
      </c>
      <c r="G15" s="6" t="s">
        <v>90</v>
      </c>
      <c r="H15" s="6" t="s">
        <v>17</v>
      </c>
      <c r="I15" s="6" t="s">
        <v>91</v>
      </c>
      <c r="L15" s="8">
        <f>VLOOKUP(G15,Datas!$A$1:$B$50,2,FALSE)</f>
        <v>45749</v>
      </c>
    </row>
    <row r="16" ht="22.5" customHeight="1">
      <c r="A16" s="5">
        <v>45737.567403402776</v>
      </c>
      <c r="B16" s="6" t="s">
        <v>92</v>
      </c>
      <c r="C16" s="6" t="s">
        <v>93</v>
      </c>
      <c r="D16" s="6" t="s">
        <v>94</v>
      </c>
      <c r="E16" s="7">
        <v>28159.0</v>
      </c>
      <c r="F16" s="6" t="s">
        <v>95</v>
      </c>
      <c r="G16" s="6" t="s">
        <v>90</v>
      </c>
      <c r="H16" s="6" t="s">
        <v>17</v>
      </c>
      <c r="I16" s="6" t="s">
        <v>96</v>
      </c>
      <c r="L16" s="8">
        <f>VLOOKUP(G16,Datas!$A$1:$B$50,2,FALSE)</f>
        <v>45749</v>
      </c>
    </row>
    <row r="17" ht="22.5" customHeight="1">
      <c r="A17" s="5">
        <v>45737.415236747685</v>
      </c>
      <c r="B17" s="6" t="s">
        <v>97</v>
      </c>
      <c r="C17" s="6" t="s">
        <v>98</v>
      </c>
      <c r="D17" s="6" t="s">
        <v>99</v>
      </c>
      <c r="E17" s="7" t="s">
        <v>100</v>
      </c>
      <c r="F17" s="6" t="s">
        <v>101</v>
      </c>
      <c r="G17" s="6" t="s">
        <v>90</v>
      </c>
      <c r="H17" s="6" t="s">
        <v>24</v>
      </c>
      <c r="K17" s="6" t="s">
        <v>102</v>
      </c>
      <c r="L17" s="8">
        <f>VLOOKUP(G17,Datas!$A$1:$B$50,2,FALSE)</f>
        <v>45749</v>
      </c>
    </row>
    <row r="18" ht="22.5" customHeight="1">
      <c r="A18" s="5">
        <v>45748.93774037037</v>
      </c>
      <c r="B18" s="6" t="s">
        <v>103</v>
      </c>
      <c r="C18" s="6" t="s">
        <v>104</v>
      </c>
      <c r="D18" s="6" t="s">
        <v>105</v>
      </c>
      <c r="E18" s="7">
        <v>32384.0</v>
      </c>
      <c r="F18" s="6" t="s">
        <v>106</v>
      </c>
      <c r="G18" s="6" t="s">
        <v>90</v>
      </c>
      <c r="H18" s="6" t="s">
        <v>24</v>
      </c>
      <c r="K18" s="6" t="s">
        <v>107</v>
      </c>
      <c r="L18" s="9">
        <f>VLOOKUP(G18,Datas!$A$1:$B$50,2,FALSE)</f>
        <v>45749</v>
      </c>
    </row>
    <row r="19" ht="22.5" customHeight="1">
      <c r="A19" s="5">
        <v>45737.493652488425</v>
      </c>
      <c r="B19" s="6" t="s">
        <v>108</v>
      </c>
      <c r="C19" s="6" t="s">
        <v>109</v>
      </c>
      <c r="D19" s="6" t="s">
        <v>110</v>
      </c>
      <c r="E19" s="7">
        <v>29349.0</v>
      </c>
      <c r="F19" s="6" t="s">
        <v>111</v>
      </c>
      <c r="G19" s="6" t="s">
        <v>112</v>
      </c>
      <c r="H19" s="6" t="s">
        <v>24</v>
      </c>
      <c r="K19" s="6" t="s">
        <v>107</v>
      </c>
      <c r="L19" s="8">
        <f>VLOOKUP(G19,Datas!$A$1:$B$50,2,FALSE)</f>
        <v>45749</v>
      </c>
    </row>
    <row r="20" ht="22.5" customHeight="1">
      <c r="A20" s="5">
        <v>45743.5465596412</v>
      </c>
      <c r="B20" s="6" t="s">
        <v>113</v>
      </c>
      <c r="C20" s="6" t="s">
        <v>114</v>
      </c>
      <c r="D20" s="6" t="s">
        <v>115</v>
      </c>
      <c r="E20" s="7">
        <v>29773.0</v>
      </c>
      <c r="F20" s="6" t="s">
        <v>116</v>
      </c>
      <c r="G20" s="6" t="s">
        <v>112</v>
      </c>
      <c r="H20" s="6" t="s">
        <v>17</v>
      </c>
      <c r="I20" s="6" t="s">
        <v>117</v>
      </c>
      <c r="L20" s="8">
        <f>VLOOKUP(G20,Datas!$A$1:$B$50,2,FALSE)</f>
        <v>45749</v>
      </c>
    </row>
    <row r="21" ht="22.5" customHeight="1">
      <c r="A21" s="5">
        <v>45736.61947784723</v>
      </c>
      <c r="B21" s="6" t="s">
        <v>118</v>
      </c>
      <c r="C21" s="6" t="s">
        <v>119</v>
      </c>
      <c r="D21" s="6" t="s">
        <v>120</v>
      </c>
      <c r="E21" s="7">
        <v>32569.0</v>
      </c>
      <c r="F21" s="6" t="s">
        <v>121</v>
      </c>
      <c r="G21" s="6" t="s">
        <v>112</v>
      </c>
      <c r="H21" s="6" t="s">
        <v>17</v>
      </c>
      <c r="I21" s="6" t="s">
        <v>122</v>
      </c>
      <c r="L21" s="8">
        <f>VLOOKUP(G21,Datas!$A$1:$B$50,2,FALSE)</f>
        <v>45749</v>
      </c>
    </row>
    <row r="22" ht="22.5" customHeight="1">
      <c r="A22" s="5">
        <v>45748.317526956016</v>
      </c>
      <c r="B22" s="6" t="s">
        <v>123</v>
      </c>
      <c r="C22" s="6" t="s">
        <v>124</v>
      </c>
      <c r="D22" s="6" t="s">
        <v>125</v>
      </c>
      <c r="E22" s="7">
        <v>28648.0</v>
      </c>
      <c r="F22" s="6" t="s">
        <v>126</v>
      </c>
      <c r="G22" s="6" t="s">
        <v>127</v>
      </c>
      <c r="H22" s="6" t="s">
        <v>17</v>
      </c>
      <c r="I22" s="6" t="s">
        <v>128</v>
      </c>
      <c r="J22" s="6" t="s">
        <v>129</v>
      </c>
      <c r="L22" s="9">
        <f>VLOOKUP(G22,Datas!$A$1:$B$50,2,FALSE)</f>
        <v>45750</v>
      </c>
    </row>
    <row r="23" ht="22.5" customHeight="1">
      <c r="A23" s="5">
        <v>45748.32543667824</v>
      </c>
      <c r="B23" s="6" t="s">
        <v>130</v>
      </c>
      <c r="C23" s="6" t="s">
        <v>131</v>
      </c>
      <c r="D23" s="6" t="s">
        <v>132</v>
      </c>
      <c r="E23" s="7">
        <v>22943.0</v>
      </c>
      <c r="F23" s="6" t="s">
        <v>133</v>
      </c>
      <c r="G23" s="6" t="s">
        <v>127</v>
      </c>
      <c r="H23" s="6" t="s">
        <v>17</v>
      </c>
      <c r="I23" s="6" t="s">
        <v>134</v>
      </c>
      <c r="L23" s="9">
        <f>VLOOKUP(G23,Datas!$A$1:$B$50,2,FALSE)</f>
        <v>45750</v>
      </c>
    </row>
    <row r="24" ht="22.5" customHeight="1">
      <c r="A24" s="5">
        <v>45747.52331238426</v>
      </c>
      <c r="B24" s="6" t="s">
        <v>135</v>
      </c>
      <c r="C24" s="6" t="s">
        <v>136</v>
      </c>
      <c r="D24" s="6" t="s">
        <v>137</v>
      </c>
      <c r="E24" s="7">
        <v>32514.0</v>
      </c>
      <c r="F24" s="6" t="s">
        <v>138</v>
      </c>
      <c r="G24" s="6" t="s">
        <v>139</v>
      </c>
      <c r="H24" s="6" t="s">
        <v>24</v>
      </c>
      <c r="K24" s="6" t="s">
        <v>140</v>
      </c>
      <c r="L24" s="9">
        <f>VLOOKUP(G24,Datas!$A$1:$B$50,2,FALSE)</f>
        <v>45749</v>
      </c>
    </row>
    <row r="25" ht="22.5" customHeight="1">
      <c r="A25" s="5">
        <v>45747.526049305554</v>
      </c>
      <c r="B25" s="6" t="s">
        <v>141</v>
      </c>
      <c r="C25" s="6" t="s">
        <v>142</v>
      </c>
      <c r="D25" s="6" t="s">
        <v>143</v>
      </c>
      <c r="E25" s="7">
        <v>24341.0</v>
      </c>
      <c r="F25" s="6" t="s">
        <v>144</v>
      </c>
      <c r="G25" s="6" t="s">
        <v>139</v>
      </c>
      <c r="H25" s="6" t="s">
        <v>17</v>
      </c>
      <c r="I25" s="6" t="s">
        <v>145</v>
      </c>
      <c r="L25" s="9">
        <f>VLOOKUP(G25,Datas!$A$1:$B$50,2,FALSE)</f>
        <v>45749</v>
      </c>
    </row>
    <row r="26" ht="22.5" customHeight="1">
      <c r="A26" s="5">
        <v>45747.41379015046</v>
      </c>
      <c r="B26" s="6" t="s">
        <v>146</v>
      </c>
      <c r="C26" s="6" t="s">
        <v>147</v>
      </c>
      <c r="D26" s="6" t="s">
        <v>148</v>
      </c>
      <c r="E26" s="7">
        <v>30821.0</v>
      </c>
      <c r="F26" s="6" t="s">
        <v>149</v>
      </c>
      <c r="G26" s="6" t="s">
        <v>150</v>
      </c>
      <c r="H26" s="6" t="s">
        <v>17</v>
      </c>
      <c r="I26" s="6" t="s">
        <v>151</v>
      </c>
      <c r="L26" s="9">
        <f>VLOOKUP(G26,Datas!$A$1:$B$50,2,FALSE)</f>
        <v>45749</v>
      </c>
    </row>
    <row r="27" ht="22.5" customHeight="1">
      <c r="A27" s="5">
        <v>45747.35854725694</v>
      </c>
      <c r="B27" s="6" t="s">
        <v>152</v>
      </c>
      <c r="C27" s="6" t="s">
        <v>153</v>
      </c>
      <c r="D27" s="6" t="s">
        <v>154</v>
      </c>
      <c r="E27" s="7">
        <v>27738.0</v>
      </c>
      <c r="F27" s="6" t="s">
        <v>155</v>
      </c>
      <c r="G27" s="6" t="s">
        <v>156</v>
      </c>
      <c r="H27" s="6" t="s">
        <v>17</v>
      </c>
      <c r="I27" s="6" t="s">
        <v>157</v>
      </c>
      <c r="L27" s="9">
        <f>VLOOKUP(G27,Datas!$A$1:$B$50,2,FALSE)</f>
        <v>45749</v>
      </c>
    </row>
    <row r="28" ht="22.5" customHeight="1">
      <c r="A28" s="5">
        <v>45742.395136817126</v>
      </c>
      <c r="B28" s="6" t="s">
        <v>158</v>
      </c>
      <c r="C28" s="6" t="s">
        <v>159</v>
      </c>
      <c r="D28" s="6" t="s">
        <v>160</v>
      </c>
      <c r="E28" s="7">
        <v>36763.0</v>
      </c>
      <c r="F28" s="6" t="s">
        <v>161</v>
      </c>
      <c r="G28" s="6" t="s">
        <v>162</v>
      </c>
      <c r="H28" s="6" t="s">
        <v>17</v>
      </c>
      <c r="I28" s="6" t="s">
        <v>163</v>
      </c>
      <c r="L28" s="8">
        <f>VLOOKUP(G28,Datas!$A$1:$B$50,2,FALSE)</f>
        <v>45749</v>
      </c>
    </row>
    <row r="29" ht="22.5" customHeight="1">
      <c r="A29" s="5">
        <v>45743.134583692125</v>
      </c>
      <c r="B29" s="6" t="s">
        <v>164</v>
      </c>
      <c r="C29" s="6" t="s">
        <v>165</v>
      </c>
      <c r="D29" s="6" t="s">
        <v>166</v>
      </c>
      <c r="E29" s="7">
        <v>36213.0</v>
      </c>
      <c r="F29" s="6" t="s">
        <v>167</v>
      </c>
      <c r="G29" s="6" t="s">
        <v>162</v>
      </c>
      <c r="H29" s="6" t="s">
        <v>17</v>
      </c>
      <c r="I29" s="6" t="s">
        <v>168</v>
      </c>
      <c r="L29" s="8">
        <f>VLOOKUP(G29,Datas!$A$1:$B$50,2,FALSE)</f>
        <v>45749</v>
      </c>
    </row>
    <row r="30" ht="22.5" customHeight="1">
      <c r="A30" s="5">
        <v>45742.68634284722</v>
      </c>
      <c r="B30" s="6" t="s">
        <v>169</v>
      </c>
      <c r="C30" s="6" t="s">
        <v>170</v>
      </c>
      <c r="D30" s="6" t="s">
        <v>171</v>
      </c>
      <c r="E30" s="7">
        <v>30191.0</v>
      </c>
      <c r="F30" s="6" t="s">
        <v>172</v>
      </c>
      <c r="G30" s="6" t="s">
        <v>162</v>
      </c>
      <c r="H30" s="6" t="s">
        <v>24</v>
      </c>
      <c r="K30" s="6" t="s">
        <v>173</v>
      </c>
      <c r="L30" s="8">
        <f>VLOOKUP(G30,Datas!$A$1:$B$50,2,FALSE)</f>
        <v>45749</v>
      </c>
    </row>
    <row r="31" ht="22.5" customHeight="1">
      <c r="A31" s="5">
        <v>45743.31354670139</v>
      </c>
      <c r="B31" s="6" t="s">
        <v>174</v>
      </c>
      <c r="C31" s="6" t="s">
        <v>175</v>
      </c>
      <c r="D31" s="6" t="s">
        <v>176</v>
      </c>
      <c r="E31" s="7">
        <v>27034.0</v>
      </c>
      <c r="F31" s="6" t="s">
        <v>177</v>
      </c>
      <c r="G31" s="6" t="s">
        <v>162</v>
      </c>
      <c r="H31" s="6" t="s">
        <v>24</v>
      </c>
      <c r="K31" s="6" t="s">
        <v>178</v>
      </c>
      <c r="L31" s="8">
        <f>VLOOKUP(G31,Datas!$A$1:$B$50,2,FALSE)</f>
        <v>45749</v>
      </c>
    </row>
    <row r="32" ht="22.5" customHeight="1">
      <c r="A32" s="5">
        <v>45748.49380917824</v>
      </c>
      <c r="B32" s="6" t="s">
        <v>179</v>
      </c>
      <c r="C32" s="6" t="s">
        <v>180</v>
      </c>
      <c r="D32" s="6" t="s">
        <v>181</v>
      </c>
      <c r="E32" s="7">
        <v>33116.0</v>
      </c>
      <c r="F32" s="6" t="s">
        <v>182</v>
      </c>
      <c r="G32" s="6" t="s">
        <v>183</v>
      </c>
      <c r="H32" s="6" t="s">
        <v>24</v>
      </c>
      <c r="K32" s="6" t="s">
        <v>184</v>
      </c>
      <c r="L32" s="9">
        <f>VLOOKUP(G32,Datas!$A$1:$B$50,2,FALSE)</f>
        <v>45749</v>
      </c>
    </row>
    <row r="33" ht="22.5" customHeight="1">
      <c r="A33" s="5">
        <v>45746.59002278935</v>
      </c>
      <c r="B33" s="6" t="s">
        <v>185</v>
      </c>
      <c r="C33" s="6" t="s">
        <v>186</v>
      </c>
      <c r="D33" s="6" t="s">
        <v>187</v>
      </c>
      <c r="E33" s="7">
        <v>24117.0</v>
      </c>
      <c r="F33" s="6" t="s">
        <v>188</v>
      </c>
      <c r="G33" s="6" t="s">
        <v>183</v>
      </c>
      <c r="H33" s="6" t="s">
        <v>17</v>
      </c>
      <c r="I33" s="6" t="s">
        <v>189</v>
      </c>
      <c r="L33" s="9">
        <f>VLOOKUP(G33,Datas!$A$1:$B$50,2,FALSE)</f>
        <v>45749</v>
      </c>
    </row>
    <row r="34" ht="22.5" customHeight="1">
      <c r="A34" s="5">
        <v>45742.51302890046</v>
      </c>
      <c r="B34" s="6" t="s">
        <v>190</v>
      </c>
      <c r="C34" s="6" t="s">
        <v>191</v>
      </c>
      <c r="D34" s="6" t="s">
        <v>192</v>
      </c>
      <c r="E34" s="7">
        <v>25126.0</v>
      </c>
      <c r="F34" s="6" t="s">
        <v>193</v>
      </c>
      <c r="G34" s="6" t="s">
        <v>194</v>
      </c>
      <c r="H34" s="6" t="s">
        <v>17</v>
      </c>
      <c r="I34" s="6" t="s">
        <v>195</v>
      </c>
      <c r="L34" s="8">
        <f>VLOOKUP(G34,Datas!$A$1:$B$50,2,FALSE)</f>
        <v>45749</v>
      </c>
    </row>
    <row r="35" ht="22.5" customHeight="1">
      <c r="A35" s="5">
        <v>45748.43708857639</v>
      </c>
      <c r="B35" s="6" t="s">
        <v>196</v>
      </c>
      <c r="C35" s="6" t="s">
        <v>197</v>
      </c>
      <c r="D35" s="6" t="s">
        <v>198</v>
      </c>
      <c r="E35" s="7">
        <v>34377.0</v>
      </c>
      <c r="F35" s="6" t="s">
        <v>199</v>
      </c>
      <c r="G35" s="6" t="s">
        <v>200</v>
      </c>
      <c r="H35" s="6" t="s">
        <v>17</v>
      </c>
      <c r="I35" s="6" t="s">
        <v>201</v>
      </c>
      <c r="L35" s="9">
        <f>VLOOKUP(G35,Datas!$A$1:$B$50,2,FALSE)</f>
        <v>45749</v>
      </c>
    </row>
    <row r="36" ht="22.5" customHeight="1">
      <c r="A36" s="5">
        <v>45744.63235804398</v>
      </c>
      <c r="B36" s="6" t="s">
        <v>202</v>
      </c>
      <c r="C36" s="6" t="s">
        <v>203</v>
      </c>
      <c r="D36" s="6" t="s">
        <v>204</v>
      </c>
      <c r="E36" s="7">
        <v>26345.0</v>
      </c>
      <c r="F36" s="6" t="s">
        <v>205</v>
      </c>
      <c r="G36" s="6" t="s">
        <v>206</v>
      </c>
      <c r="H36" s="6" t="s">
        <v>24</v>
      </c>
      <c r="K36" s="6" t="s">
        <v>207</v>
      </c>
      <c r="L36" s="9">
        <f>VLOOKUP(G36,Datas!$A$1:$B$50,2,FALSE)</f>
        <v>45749</v>
      </c>
    </row>
    <row r="37" ht="22.5" customHeight="1">
      <c r="A37" s="5">
        <v>45734.42081329861</v>
      </c>
      <c r="B37" s="6" t="s">
        <v>208</v>
      </c>
      <c r="C37" s="6" t="s">
        <v>209</v>
      </c>
      <c r="D37" s="6" t="s">
        <v>210</v>
      </c>
      <c r="E37" s="7">
        <v>22821.0</v>
      </c>
      <c r="F37" s="6" t="s">
        <v>211</v>
      </c>
      <c r="G37" s="6" t="s">
        <v>206</v>
      </c>
      <c r="H37" s="6" t="s">
        <v>17</v>
      </c>
      <c r="I37" s="6" t="s">
        <v>212</v>
      </c>
      <c r="L37" s="8">
        <f>VLOOKUP(G37,Datas!$A$1:$B$50,2,FALSE)</f>
        <v>45749</v>
      </c>
    </row>
    <row r="38" ht="22.5" customHeight="1">
      <c r="A38" s="5">
        <v>45734.426023761574</v>
      </c>
      <c r="B38" s="6" t="s">
        <v>213</v>
      </c>
      <c r="C38" s="6" t="s">
        <v>214</v>
      </c>
      <c r="D38" s="6" t="s">
        <v>215</v>
      </c>
      <c r="E38" s="7">
        <v>27677.0</v>
      </c>
      <c r="F38" s="6" t="s">
        <v>216</v>
      </c>
      <c r="G38" s="6" t="s">
        <v>206</v>
      </c>
      <c r="H38" s="6" t="s">
        <v>17</v>
      </c>
      <c r="I38" s="6" t="s">
        <v>217</v>
      </c>
      <c r="L38" s="8">
        <f>VLOOKUP(G38,Datas!$A$1:$B$50,2,FALSE)</f>
        <v>45749</v>
      </c>
    </row>
    <row r="39" ht="22.5" customHeight="1">
      <c r="A39" s="5">
        <v>45734.508854803236</v>
      </c>
      <c r="B39" s="6" t="s">
        <v>218</v>
      </c>
      <c r="C39" s="6" t="s">
        <v>219</v>
      </c>
      <c r="D39" s="6" t="s">
        <v>220</v>
      </c>
      <c r="E39" s="7">
        <v>25783.0</v>
      </c>
      <c r="F39" s="6" t="s">
        <v>221</v>
      </c>
      <c r="G39" s="6" t="s">
        <v>206</v>
      </c>
      <c r="H39" s="6" t="s">
        <v>24</v>
      </c>
      <c r="K39" s="6" t="s">
        <v>30</v>
      </c>
      <c r="L39" s="8">
        <f>VLOOKUP(G39,Datas!$A$1:$B$50,2,FALSE)</f>
        <v>45749</v>
      </c>
    </row>
    <row r="40" ht="22.5" customHeight="1">
      <c r="A40" s="5">
        <v>45740.73473334491</v>
      </c>
      <c r="B40" s="6" t="s">
        <v>222</v>
      </c>
      <c r="C40" s="6" t="s">
        <v>223</v>
      </c>
      <c r="D40" s="6" t="s">
        <v>224</v>
      </c>
      <c r="E40" s="7">
        <v>28370.0</v>
      </c>
      <c r="F40" s="6" t="s">
        <v>225</v>
      </c>
      <c r="G40" s="6" t="s">
        <v>226</v>
      </c>
      <c r="H40" s="6" t="s">
        <v>17</v>
      </c>
      <c r="I40" s="6" t="s">
        <v>227</v>
      </c>
      <c r="L40" s="8">
        <f>VLOOKUP(G40,Datas!$A$1:$B$50,2,FALSE)</f>
        <v>45749</v>
      </c>
    </row>
    <row r="41" ht="22.5" customHeight="1">
      <c r="A41" s="5">
        <v>45740.74341520833</v>
      </c>
      <c r="B41" s="6" t="s">
        <v>228</v>
      </c>
      <c r="C41" s="6" t="s">
        <v>229</v>
      </c>
      <c r="D41" s="6" t="s">
        <v>230</v>
      </c>
      <c r="E41" s="7">
        <v>26400.0</v>
      </c>
      <c r="F41" s="6" t="s">
        <v>231</v>
      </c>
      <c r="G41" s="6" t="s">
        <v>226</v>
      </c>
      <c r="H41" s="6" t="s">
        <v>17</v>
      </c>
      <c r="I41" s="6" t="s">
        <v>232</v>
      </c>
      <c r="L41" s="8">
        <f>VLOOKUP(G41,Datas!$A$1:$B$50,2,FALSE)</f>
        <v>45749</v>
      </c>
    </row>
    <row r="42" ht="22.5" customHeight="1">
      <c r="A42" s="5">
        <v>45740.73738910879</v>
      </c>
      <c r="B42" s="6" t="s">
        <v>228</v>
      </c>
      <c r="C42" s="6" t="s">
        <v>233</v>
      </c>
      <c r="D42" s="6" t="s">
        <v>230</v>
      </c>
      <c r="E42" s="7">
        <v>26400.0</v>
      </c>
      <c r="F42" s="6" t="s">
        <v>231</v>
      </c>
      <c r="G42" s="6" t="s">
        <v>226</v>
      </c>
      <c r="H42" s="6" t="s">
        <v>17</v>
      </c>
      <c r="I42" s="6" t="s">
        <v>232</v>
      </c>
      <c r="L42" s="8">
        <f>VLOOKUP(G42,Datas!$A$1:$B$50,2,FALSE)</f>
        <v>45749</v>
      </c>
    </row>
    <row r="43" ht="22.5" customHeight="1">
      <c r="A43" s="5">
        <v>45734.422735625005</v>
      </c>
      <c r="B43" s="6" t="s">
        <v>234</v>
      </c>
      <c r="C43" s="6" t="s">
        <v>235</v>
      </c>
      <c r="D43" s="6" t="s">
        <v>236</v>
      </c>
      <c r="E43" s="7">
        <v>26088.0</v>
      </c>
      <c r="F43" s="6" t="s">
        <v>237</v>
      </c>
      <c r="G43" s="6" t="s">
        <v>238</v>
      </c>
      <c r="H43" s="6" t="s">
        <v>17</v>
      </c>
      <c r="I43" s="6" t="s">
        <v>239</v>
      </c>
      <c r="L43" s="8">
        <f>VLOOKUP(G43,Datas!$A$1:$B$50,2,FALSE)</f>
        <v>45749</v>
      </c>
    </row>
    <row r="44" ht="22.5" customHeight="1">
      <c r="A44" s="5">
        <v>45734.474377418985</v>
      </c>
      <c r="B44" s="6" t="s">
        <v>240</v>
      </c>
      <c r="C44" s="6" t="s">
        <v>241</v>
      </c>
      <c r="D44" s="6" t="s">
        <v>242</v>
      </c>
      <c r="E44" s="7">
        <v>32021.0</v>
      </c>
      <c r="F44" s="6" t="s">
        <v>243</v>
      </c>
      <c r="G44" s="6" t="s">
        <v>238</v>
      </c>
      <c r="H44" s="6" t="s">
        <v>17</v>
      </c>
      <c r="I44" s="6" t="s">
        <v>244</v>
      </c>
      <c r="L44" s="8">
        <f>VLOOKUP(G44,Datas!$A$1:$B$50,2,FALSE)</f>
        <v>45749</v>
      </c>
    </row>
    <row r="45" ht="22.5" customHeight="1">
      <c r="A45" s="5">
        <v>45744.34136377314</v>
      </c>
      <c r="B45" s="6" t="s">
        <v>245</v>
      </c>
      <c r="C45" s="6" t="s">
        <v>246</v>
      </c>
      <c r="D45" s="6" t="s">
        <v>247</v>
      </c>
      <c r="E45" s="7">
        <v>25546.0</v>
      </c>
      <c r="F45" s="6" t="s">
        <v>248</v>
      </c>
      <c r="G45" s="6" t="s">
        <v>249</v>
      </c>
      <c r="H45" s="6" t="s">
        <v>17</v>
      </c>
      <c r="I45" s="6" t="s">
        <v>250</v>
      </c>
      <c r="L45" s="8">
        <f>VLOOKUP(G45,Datas!$A$1:$B$50,2,FALSE)</f>
        <v>45750</v>
      </c>
    </row>
    <row r="46" ht="22.5" customHeight="1">
      <c r="A46" s="5">
        <v>45744.33798207176</v>
      </c>
      <c r="B46" s="6" t="s">
        <v>251</v>
      </c>
      <c r="C46" s="6" t="s">
        <v>252</v>
      </c>
      <c r="D46" s="6" t="s">
        <v>253</v>
      </c>
      <c r="E46" s="7">
        <v>30671.0</v>
      </c>
      <c r="F46" s="6" t="s">
        <v>254</v>
      </c>
      <c r="G46" s="6" t="s">
        <v>249</v>
      </c>
      <c r="H46" s="6" t="s">
        <v>17</v>
      </c>
      <c r="I46" s="6" t="s">
        <v>255</v>
      </c>
      <c r="L46" s="8">
        <f>VLOOKUP(G46,Datas!$A$1:$B$50,2,FALSE)</f>
        <v>45750</v>
      </c>
    </row>
    <row r="47" ht="22.5" customHeight="1">
      <c r="A47" s="5">
        <v>45737.483914861106</v>
      </c>
      <c r="B47" s="6" t="s">
        <v>256</v>
      </c>
      <c r="C47" s="6" t="s">
        <v>257</v>
      </c>
      <c r="D47" s="6" t="s">
        <v>258</v>
      </c>
      <c r="E47" s="7">
        <v>28418.0</v>
      </c>
      <c r="F47" s="6" t="s">
        <v>259</v>
      </c>
      <c r="G47" s="6" t="s">
        <v>260</v>
      </c>
      <c r="H47" s="6" t="s">
        <v>24</v>
      </c>
      <c r="K47" s="6" t="s">
        <v>261</v>
      </c>
      <c r="L47" s="8">
        <f>VLOOKUP(G47,Datas!$A$1:$B$50,2,FALSE)</f>
        <v>45750</v>
      </c>
    </row>
    <row r="48" ht="22.5" customHeight="1">
      <c r="A48" s="5">
        <v>45737.48208252314</v>
      </c>
      <c r="B48" s="6" t="s">
        <v>256</v>
      </c>
      <c r="C48" s="6" t="s">
        <v>262</v>
      </c>
      <c r="D48" s="6" t="s">
        <v>263</v>
      </c>
      <c r="E48" s="7">
        <v>26983.0</v>
      </c>
      <c r="F48" s="6" t="s">
        <v>264</v>
      </c>
      <c r="G48" s="6" t="s">
        <v>260</v>
      </c>
      <c r="H48" s="6" t="s">
        <v>17</v>
      </c>
      <c r="I48" s="6" t="s">
        <v>265</v>
      </c>
      <c r="L48" s="8">
        <f>VLOOKUP(G48,Datas!$A$1:$B$50,2,FALSE)</f>
        <v>45750</v>
      </c>
    </row>
    <row r="49" ht="22.5" customHeight="1">
      <c r="A49" s="5">
        <v>45737.487844386575</v>
      </c>
      <c r="B49" s="6" t="s">
        <v>256</v>
      </c>
      <c r="C49" s="6" t="s">
        <v>266</v>
      </c>
      <c r="D49" s="6" t="s">
        <v>267</v>
      </c>
      <c r="E49" s="7">
        <v>31446.0</v>
      </c>
      <c r="F49" s="6" t="s">
        <v>268</v>
      </c>
      <c r="G49" s="6" t="s">
        <v>260</v>
      </c>
      <c r="H49" s="6" t="s">
        <v>24</v>
      </c>
      <c r="K49" s="6" t="s">
        <v>261</v>
      </c>
      <c r="L49" s="8">
        <f>VLOOKUP(G49,Datas!$A$1:$B$50,2,FALSE)</f>
        <v>45750</v>
      </c>
    </row>
    <row r="50" ht="22.5" customHeight="1">
      <c r="A50" s="5">
        <v>45742.44973807871</v>
      </c>
      <c r="B50" s="6" t="s">
        <v>269</v>
      </c>
      <c r="C50" s="6" t="s">
        <v>270</v>
      </c>
      <c r="D50" s="6" t="s">
        <v>271</v>
      </c>
      <c r="E50" s="7">
        <v>33394.0</v>
      </c>
      <c r="F50" s="6" t="s">
        <v>272</v>
      </c>
      <c r="G50" s="6" t="s">
        <v>273</v>
      </c>
      <c r="H50" s="6" t="s">
        <v>17</v>
      </c>
      <c r="I50" s="6" t="s">
        <v>274</v>
      </c>
      <c r="L50" s="8">
        <f>VLOOKUP(G50,Datas!$A$1:$B$50,2,FALSE)</f>
        <v>45750</v>
      </c>
    </row>
    <row r="51" ht="22.5" customHeight="1">
      <c r="A51" s="5">
        <v>45742.437961539355</v>
      </c>
      <c r="B51" s="6" t="s">
        <v>275</v>
      </c>
      <c r="C51" s="6" t="s">
        <v>276</v>
      </c>
      <c r="D51" s="6" t="s">
        <v>277</v>
      </c>
      <c r="E51" s="7">
        <v>29858.0</v>
      </c>
      <c r="F51" s="6" t="s">
        <v>278</v>
      </c>
      <c r="G51" s="6" t="s">
        <v>273</v>
      </c>
      <c r="H51" s="6" t="s">
        <v>17</v>
      </c>
      <c r="I51" s="6" t="s">
        <v>279</v>
      </c>
      <c r="L51" s="8">
        <f>VLOOKUP(G51,Datas!$A$1:$B$50,2,FALSE)</f>
        <v>45750</v>
      </c>
    </row>
    <row r="52" ht="22.5" customHeight="1">
      <c r="A52" s="5">
        <v>45741.34613376157</v>
      </c>
      <c r="B52" s="6" t="s">
        <v>280</v>
      </c>
      <c r="C52" s="6" t="s">
        <v>281</v>
      </c>
      <c r="D52" s="6" t="s">
        <v>282</v>
      </c>
      <c r="E52" s="7">
        <v>27552.0</v>
      </c>
      <c r="F52" s="6" t="s">
        <v>283</v>
      </c>
      <c r="G52" s="6" t="s">
        <v>284</v>
      </c>
      <c r="H52" s="6" t="s">
        <v>24</v>
      </c>
      <c r="K52" s="6" t="s">
        <v>285</v>
      </c>
      <c r="L52" s="8">
        <f>VLOOKUP(G52,Datas!$A$1:$B$50,2,FALSE)</f>
        <v>45750</v>
      </c>
    </row>
    <row r="53" ht="22.5" customHeight="1">
      <c r="A53" s="5">
        <v>45740.75158334491</v>
      </c>
      <c r="B53" s="6" t="s">
        <v>280</v>
      </c>
      <c r="C53" s="6" t="s">
        <v>286</v>
      </c>
      <c r="D53" s="6" t="s">
        <v>287</v>
      </c>
      <c r="E53" s="7">
        <v>36569.0</v>
      </c>
      <c r="F53" s="6" t="s">
        <v>288</v>
      </c>
      <c r="G53" s="6" t="s">
        <v>284</v>
      </c>
      <c r="H53" s="6" t="s">
        <v>17</v>
      </c>
      <c r="I53" s="6" t="s">
        <v>289</v>
      </c>
      <c r="L53" s="8">
        <f>VLOOKUP(G53,Datas!$A$1:$B$50,2,FALSE)</f>
        <v>45750</v>
      </c>
    </row>
    <row r="54" ht="22.5" customHeight="1">
      <c r="A54" s="5">
        <v>45741.448130625</v>
      </c>
      <c r="B54" s="6" t="s">
        <v>280</v>
      </c>
      <c r="C54" s="6" t="s">
        <v>290</v>
      </c>
      <c r="D54" s="6" t="s">
        <v>291</v>
      </c>
      <c r="E54" s="7">
        <v>23435.0</v>
      </c>
      <c r="F54" s="6" t="s">
        <v>292</v>
      </c>
      <c r="G54" s="6" t="s">
        <v>284</v>
      </c>
      <c r="H54" s="6" t="s">
        <v>24</v>
      </c>
      <c r="K54" s="6" t="s">
        <v>289</v>
      </c>
      <c r="L54" s="8">
        <f>VLOOKUP(G54,Datas!$A$1:$B$50,2,FALSE)</f>
        <v>45750</v>
      </c>
    </row>
    <row r="55" ht="22.5" customHeight="1">
      <c r="A55" s="5">
        <v>45749.72320049768</v>
      </c>
      <c r="B55" s="6" t="s">
        <v>293</v>
      </c>
      <c r="C55" s="6" t="s">
        <v>294</v>
      </c>
      <c r="D55" s="6" t="s">
        <v>295</v>
      </c>
      <c r="E55" s="7">
        <v>31913.0</v>
      </c>
      <c r="F55" s="6" t="s">
        <v>296</v>
      </c>
      <c r="G55" s="6" t="s">
        <v>284</v>
      </c>
      <c r="H55" s="6" t="s">
        <v>17</v>
      </c>
      <c r="I55" s="6" t="s">
        <v>297</v>
      </c>
      <c r="L55" s="9">
        <f>VLOOKUP(G55,Datas!$A$1:$B$50,2,FALSE)</f>
        <v>45750</v>
      </c>
    </row>
    <row r="56" ht="22.5" customHeight="1">
      <c r="A56" s="5">
        <v>45741.40056486111</v>
      </c>
      <c r="B56" s="6" t="s">
        <v>298</v>
      </c>
      <c r="C56" s="6" t="s">
        <v>299</v>
      </c>
      <c r="D56" s="6" t="s">
        <v>300</v>
      </c>
      <c r="E56" s="7">
        <v>24181.0</v>
      </c>
      <c r="F56" s="6" t="s">
        <v>301</v>
      </c>
      <c r="G56" s="6" t="s">
        <v>302</v>
      </c>
      <c r="H56" s="6" t="s">
        <v>24</v>
      </c>
      <c r="K56" s="6" t="s">
        <v>303</v>
      </c>
      <c r="L56" s="8">
        <f>VLOOKUP(G56,Datas!$A$1:$B$50,2,FALSE)</f>
        <v>45750</v>
      </c>
    </row>
    <row r="57" ht="22.5" customHeight="1">
      <c r="A57" s="5">
        <v>45734.35210836805</v>
      </c>
      <c r="B57" s="6" t="s">
        <v>304</v>
      </c>
      <c r="C57" s="6" t="s">
        <v>305</v>
      </c>
      <c r="D57" s="6" t="s">
        <v>306</v>
      </c>
      <c r="E57" s="7">
        <v>34586.0</v>
      </c>
      <c r="F57" s="6" t="s">
        <v>307</v>
      </c>
      <c r="G57" s="6" t="s">
        <v>302</v>
      </c>
      <c r="H57" s="6" t="s">
        <v>17</v>
      </c>
      <c r="I57" s="6" t="s">
        <v>308</v>
      </c>
      <c r="J57" s="6" t="s">
        <v>309</v>
      </c>
      <c r="L57" s="8">
        <f>VLOOKUP(G57,Datas!$A$1:$B$50,2,FALSE)</f>
        <v>45750</v>
      </c>
    </row>
    <row r="58" ht="22.5" customHeight="1">
      <c r="A58" s="5">
        <v>45747.45615302083</v>
      </c>
      <c r="B58" s="6" t="s">
        <v>310</v>
      </c>
      <c r="C58" s="6" t="s">
        <v>305</v>
      </c>
      <c r="D58" s="6" t="s">
        <v>306</v>
      </c>
      <c r="E58" s="7">
        <v>34586.0</v>
      </c>
      <c r="F58" s="6" t="s">
        <v>307</v>
      </c>
      <c r="G58" s="6" t="s">
        <v>302</v>
      </c>
      <c r="H58" s="6" t="s">
        <v>17</v>
      </c>
      <c r="I58" s="6" t="s">
        <v>311</v>
      </c>
      <c r="J58" s="6" t="s">
        <v>312</v>
      </c>
      <c r="K58" s="6" t="s">
        <v>313</v>
      </c>
      <c r="L58" s="8">
        <f>VLOOKUP(G58,Datas!$A$1:$B$50,2,FALSE)</f>
        <v>45750</v>
      </c>
    </row>
    <row r="59" ht="22.5" customHeight="1">
      <c r="A59" s="5">
        <v>45734.35499594908</v>
      </c>
      <c r="B59" s="6" t="s">
        <v>314</v>
      </c>
      <c r="C59" s="6" t="s">
        <v>315</v>
      </c>
      <c r="D59" s="6" t="s">
        <v>316</v>
      </c>
      <c r="E59" s="7">
        <v>36339.0</v>
      </c>
      <c r="F59" s="6" t="s">
        <v>317</v>
      </c>
      <c r="G59" s="6" t="s">
        <v>302</v>
      </c>
      <c r="H59" s="6" t="s">
        <v>17</v>
      </c>
      <c r="I59" s="6" t="s">
        <v>318</v>
      </c>
      <c r="J59" s="6" t="s">
        <v>319</v>
      </c>
      <c r="L59" s="8">
        <f>VLOOKUP(G59,Datas!$A$1:$B$50,2,FALSE)</f>
        <v>45750</v>
      </c>
    </row>
    <row r="60" ht="22.5" customHeight="1">
      <c r="A60" s="5">
        <v>45740.699636770834</v>
      </c>
      <c r="B60" s="6" t="s">
        <v>320</v>
      </c>
      <c r="C60" s="6" t="s">
        <v>321</v>
      </c>
      <c r="D60" s="6" t="s">
        <v>322</v>
      </c>
      <c r="E60" s="7">
        <v>32447.0</v>
      </c>
      <c r="F60" s="6" t="s">
        <v>323</v>
      </c>
      <c r="G60" s="6" t="s">
        <v>302</v>
      </c>
      <c r="H60" s="6" t="s">
        <v>24</v>
      </c>
      <c r="K60" s="6" t="s">
        <v>324</v>
      </c>
      <c r="L60" s="8">
        <f>VLOOKUP(G60,Datas!$A$1:$B$50,2,FALSE)</f>
        <v>45750</v>
      </c>
    </row>
    <row r="61" ht="22.5" customHeight="1">
      <c r="A61" s="5">
        <v>45748.58617872685</v>
      </c>
      <c r="B61" s="6" t="s">
        <v>325</v>
      </c>
      <c r="C61" s="6" t="s">
        <v>326</v>
      </c>
      <c r="D61" s="6" t="s">
        <v>327</v>
      </c>
      <c r="E61" s="7">
        <v>30186.0</v>
      </c>
      <c r="F61" s="6" t="s">
        <v>328</v>
      </c>
      <c r="G61" s="6" t="s">
        <v>329</v>
      </c>
      <c r="H61" s="6" t="s">
        <v>17</v>
      </c>
      <c r="I61" s="6" t="s">
        <v>330</v>
      </c>
      <c r="L61" s="9">
        <f>VLOOKUP(G61,Datas!$A$1:$B$50,2,FALSE)</f>
        <v>45750</v>
      </c>
    </row>
    <row r="62" ht="22.5" customHeight="1">
      <c r="A62" s="5">
        <v>45748.62808204861</v>
      </c>
      <c r="B62" s="6" t="s">
        <v>331</v>
      </c>
      <c r="C62" s="6" t="s">
        <v>332</v>
      </c>
      <c r="D62" s="6" t="s">
        <v>327</v>
      </c>
      <c r="E62" s="7">
        <v>30186.0</v>
      </c>
      <c r="F62" s="6" t="s">
        <v>328</v>
      </c>
      <c r="G62" s="6" t="s">
        <v>329</v>
      </c>
      <c r="H62" s="6" t="s">
        <v>17</v>
      </c>
      <c r="I62" s="6" t="s">
        <v>330</v>
      </c>
      <c r="L62" s="9">
        <f>VLOOKUP(G62,Datas!$A$1:$B$50,2,FALSE)</f>
        <v>45750</v>
      </c>
    </row>
    <row r="63" ht="22.5" customHeight="1">
      <c r="A63" s="5">
        <v>45747.474257615744</v>
      </c>
      <c r="B63" s="6" t="s">
        <v>333</v>
      </c>
      <c r="C63" s="6" t="s">
        <v>334</v>
      </c>
      <c r="D63" s="6" t="s">
        <v>335</v>
      </c>
      <c r="E63" s="7">
        <v>30195.0</v>
      </c>
      <c r="F63" s="6" t="s">
        <v>336</v>
      </c>
      <c r="G63" s="6" t="s">
        <v>337</v>
      </c>
      <c r="H63" s="6" t="s">
        <v>17</v>
      </c>
      <c r="I63" s="6" t="s">
        <v>338</v>
      </c>
      <c r="J63" s="6" t="s">
        <v>339</v>
      </c>
      <c r="L63" s="9">
        <f>VLOOKUP(G63,Datas!$A$1:$B$50,2,FALSE)</f>
        <v>45750</v>
      </c>
    </row>
    <row r="64" ht="22.5" customHeight="1">
      <c r="A64" s="5">
        <v>45747.7063522338</v>
      </c>
      <c r="B64" s="6" t="s">
        <v>340</v>
      </c>
      <c r="C64" s="6" t="s">
        <v>341</v>
      </c>
      <c r="D64" s="6" t="s">
        <v>342</v>
      </c>
      <c r="E64" s="7">
        <v>28425.0</v>
      </c>
      <c r="F64" s="6" t="s">
        <v>343</v>
      </c>
      <c r="G64" s="6" t="s">
        <v>337</v>
      </c>
      <c r="H64" s="6" t="s">
        <v>24</v>
      </c>
      <c r="K64" s="6" t="s">
        <v>344</v>
      </c>
      <c r="L64" s="9">
        <f>VLOOKUP(G64,Datas!$A$1:$B$50,2,FALSE)</f>
        <v>45750</v>
      </c>
    </row>
    <row r="65" ht="22.5" customHeight="1">
      <c r="A65" s="5">
        <v>45735.74298113426</v>
      </c>
      <c r="B65" s="6" t="s">
        <v>345</v>
      </c>
      <c r="C65" s="6" t="s">
        <v>346</v>
      </c>
      <c r="D65" s="6" t="s">
        <v>347</v>
      </c>
      <c r="E65" s="7">
        <v>30017.0</v>
      </c>
      <c r="F65" s="6" t="s">
        <v>348</v>
      </c>
      <c r="G65" s="6" t="s">
        <v>337</v>
      </c>
      <c r="H65" s="6" t="s">
        <v>17</v>
      </c>
      <c r="I65" s="6" t="s">
        <v>349</v>
      </c>
      <c r="L65" s="8">
        <f>VLOOKUP(G65,Datas!$A$1:$B$50,2,FALSE)</f>
        <v>45750</v>
      </c>
    </row>
    <row r="66" ht="22.5" customHeight="1">
      <c r="A66" s="5">
        <v>45747.482493449075</v>
      </c>
      <c r="B66" s="6" t="s">
        <v>350</v>
      </c>
      <c r="C66" s="6" t="s">
        <v>351</v>
      </c>
      <c r="D66" s="6" t="s">
        <v>352</v>
      </c>
      <c r="E66" s="7">
        <v>25555.0</v>
      </c>
      <c r="F66" s="6" t="s">
        <v>353</v>
      </c>
      <c r="G66" s="6" t="s">
        <v>337</v>
      </c>
      <c r="H66" s="6" t="s">
        <v>17</v>
      </c>
      <c r="I66" s="6" t="s">
        <v>354</v>
      </c>
      <c r="L66" s="9">
        <f>VLOOKUP(G66,Datas!$A$1:$B$50,2,FALSE)</f>
        <v>45750</v>
      </c>
    </row>
    <row r="67" ht="22.5" customHeight="1">
      <c r="A67" s="5">
        <v>45747.715695046296</v>
      </c>
      <c r="B67" s="6" t="s">
        <v>355</v>
      </c>
      <c r="C67" s="6" t="s">
        <v>356</v>
      </c>
      <c r="D67" s="6" t="s">
        <v>357</v>
      </c>
      <c r="E67" s="7">
        <v>26200.0</v>
      </c>
      <c r="F67" s="6" t="s">
        <v>358</v>
      </c>
      <c r="G67" s="6" t="s">
        <v>337</v>
      </c>
      <c r="H67" s="6" t="s">
        <v>24</v>
      </c>
      <c r="K67" s="6" t="s">
        <v>178</v>
      </c>
      <c r="L67" s="9">
        <f>VLOOKUP(G67,Datas!$A$1:$B$50,2,FALSE)</f>
        <v>45750</v>
      </c>
    </row>
    <row r="68" ht="22.5" customHeight="1">
      <c r="A68" s="5">
        <v>45748.70920703704</v>
      </c>
      <c r="B68" s="6" t="s">
        <v>359</v>
      </c>
      <c r="C68" s="6" t="s">
        <v>360</v>
      </c>
      <c r="D68" s="6" t="s">
        <v>361</v>
      </c>
      <c r="E68" s="7">
        <v>31161.0</v>
      </c>
      <c r="F68" s="6" t="s">
        <v>362</v>
      </c>
      <c r="G68" s="6" t="s">
        <v>363</v>
      </c>
      <c r="H68" s="6" t="s">
        <v>17</v>
      </c>
      <c r="I68" s="6" t="s">
        <v>364</v>
      </c>
      <c r="L68" s="9">
        <f>VLOOKUP(G68,Datas!$A$1:$B$50,2,FALSE)</f>
        <v>45750</v>
      </c>
    </row>
    <row r="69" ht="22.5" customHeight="1">
      <c r="A69" s="5">
        <v>45734.488081539355</v>
      </c>
      <c r="B69" s="6" t="s">
        <v>365</v>
      </c>
      <c r="C69" s="6" t="s">
        <v>366</v>
      </c>
      <c r="D69" s="6" t="s">
        <v>367</v>
      </c>
      <c r="E69" s="7">
        <v>28948.0</v>
      </c>
      <c r="F69" s="6" t="s">
        <v>368</v>
      </c>
      <c r="G69" s="6" t="s">
        <v>369</v>
      </c>
      <c r="H69" s="6" t="s">
        <v>17</v>
      </c>
      <c r="I69" s="6" t="s">
        <v>370</v>
      </c>
      <c r="L69" s="8">
        <f>VLOOKUP(G69,Datas!$A$1:$B$50,2,FALSE)</f>
        <v>45750</v>
      </c>
    </row>
    <row r="70" ht="22.5" customHeight="1">
      <c r="A70" s="5">
        <v>45740.752462476856</v>
      </c>
      <c r="B70" s="6" t="s">
        <v>371</v>
      </c>
      <c r="C70" s="6" t="s">
        <v>372</v>
      </c>
      <c r="D70" s="6" t="s">
        <v>373</v>
      </c>
      <c r="E70" s="7">
        <v>28940.0</v>
      </c>
      <c r="F70" s="6" t="s">
        <v>374</v>
      </c>
      <c r="G70" s="6" t="s">
        <v>369</v>
      </c>
      <c r="H70" s="6" t="s">
        <v>24</v>
      </c>
      <c r="K70" s="6" t="s">
        <v>375</v>
      </c>
      <c r="L70" s="8">
        <f>VLOOKUP(G70,Datas!$A$1:$B$50,2,FALSE)</f>
        <v>45750</v>
      </c>
    </row>
    <row r="71" ht="22.5" customHeight="1">
      <c r="A71" s="5">
        <v>45735.9234172338</v>
      </c>
      <c r="B71" s="6" t="s">
        <v>376</v>
      </c>
      <c r="C71" s="6" t="s">
        <v>377</v>
      </c>
      <c r="D71" s="6" t="s">
        <v>378</v>
      </c>
      <c r="E71" s="7">
        <v>28978.0</v>
      </c>
      <c r="F71" s="6" t="s">
        <v>379</v>
      </c>
      <c r="G71" s="6" t="s">
        <v>369</v>
      </c>
      <c r="H71" s="6" t="s">
        <v>24</v>
      </c>
      <c r="K71" s="6" t="s">
        <v>107</v>
      </c>
      <c r="L71" s="8">
        <f>VLOOKUP(G71,Datas!$A$1:$B$50,2,FALSE)</f>
        <v>45750</v>
      </c>
    </row>
    <row r="72" ht="22.5" customHeight="1">
      <c r="A72" s="5">
        <v>45735.86323309028</v>
      </c>
      <c r="B72" s="6" t="s">
        <v>380</v>
      </c>
      <c r="C72" s="6" t="s">
        <v>381</v>
      </c>
      <c r="D72" s="6" t="s">
        <v>382</v>
      </c>
      <c r="E72" s="7">
        <v>30230.0</v>
      </c>
      <c r="F72" s="6" t="s">
        <v>383</v>
      </c>
      <c r="G72" s="6" t="s">
        <v>369</v>
      </c>
      <c r="H72" s="6" t="s">
        <v>24</v>
      </c>
      <c r="K72" s="6" t="s">
        <v>384</v>
      </c>
      <c r="L72" s="8">
        <f>VLOOKUP(G72,Datas!$A$1:$B$50,2,FALSE)</f>
        <v>45750</v>
      </c>
    </row>
    <row r="73" ht="22.5" customHeight="1">
      <c r="A73" s="5">
        <v>45744.56624190972</v>
      </c>
      <c r="B73" s="6" t="s">
        <v>385</v>
      </c>
      <c r="C73" s="6" t="s">
        <v>386</v>
      </c>
      <c r="D73" s="6" t="s">
        <v>387</v>
      </c>
      <c r="E73" s="7">
        <v>28186.0</v>
      </c>
      <c r="F73" s="6" t="s">
        <v>388</v>
      </c>
      <c r="G73" s="6" t="s">
        <v>369</v>
      </c>
      <c r="H73" s="6" t="s">
        <v>17</v>
      </c>
      <c r="I73" s="6" t="s">
        <v>389</v>
      </c>
      <c r="L73" s="9">
        <f>VLOOKUP(G73,Datas!$A$1:$B$50,2,FALSE)</f>
        <v>45750</v>
      </c>
    </row>
    <row r="74" ht="22.5" customHeight="1">
      <c r="A74" s="5">
        <v>45740.66688883102</v>
      </c>
      <c r="B74" s="6" t="s">
        <v>390</v>
      </c>
      <c r="C74" s="6" t="s">
        <v>391</v>
      </c>
      <c r="D74" s="6" t="s">
        <v>392</v>
      </c>
      <c r="E74" s="7">
        <v>34298.0</v>
      </c>
      <c r="F74" s="6" t="s">
        <v>393</v>
      </c>
      <c r="G74" s="6" t="s">
        <v>394</v>
      </c>
      <c r="H74" s="6" t="s">
        <v>17</v>
      </c>
      <c r="I74" s="6" t="s">
        <v>395</v>
      </c>
      <c r="L74" s="8">
        <f>VLOOKUP(G74,Datas!$A$1:$B$50,2,FALSE)</f>
        <v>45750</v>
      </c>
    </row>
    <row r="75" ht="22.5" customHeight="1">
      <c r="A75" s="5">
        <v>45740.81895861111</v>
      </c>
      <c r="B75" s="6" t="s">
        <v>396</v>
      </c>
      <c r="C75" s="6" t="s">
        <v>397</v>
      </c>
      <c r="D75" s="6" t="s">
        <v>398</v>
      </c>
      <c r="E75" s="7">
        <v>29058.0</v>
      </c>
      <c r="F75" s="6" t="s">
        <v>399</v>
      </c>
      <c r="G75" s="6" t="s">
        <v>394</v>
      </c>
      <c r="H75" s="6" t="s">
        <v>24</v>
      </c>
      <c r="K75" s="6" t="s">
        <v>400</v>
      </c>
      <c r="L75" s="8">
        <f>VLOOKUP(G75,Datas!$A$1:$B$50,2,FALSE)</f>
        <v>45750</v>
      </c>
    </row>
    <row r="76" ht="22.5" customHeight="1">
      <c r="A76" s="10">
        <v>45733.69585502315</v>
      </c>
      <c r="B76" s="11" t="s">
        <v>401</v>
      </c>
      <c r="C76" s="11" t="s">
        <v>402</v>
      </c>
      <c r="D76" s="11" t="s">
        <v>403</v>
      </c>
      <c r="E76" s="12">
        <v>30068.0</v>
      </c>
      <c r="F76" s="11" t="s">
        <v>404</v>
      </c>
      <c r="G76" s="11" t="s">
        <v>405</v>
      </c>
      <c r="H76" s="11" t="s">
        <v>24</v>
      </c>
      <c r="I76" s="13"/>
      <c r="J76" s="13"/>
      <c r="K76" s="11" t="s">
        <v>406</v>
      </c>
      <c r="L76" s="8">
        <f>VLOOKUP(G76,Datas!$A$1:$B$50,2,FALSE)</f>
        <v>45750</v>
      </c>
    </row>
    <row r="77" ht="22.5" customHeight="1">
      <c r="A77" s="10">
        <v>45733.69331619213</v>
      </c>
      <c r="B77" s="11" t="s">
        <v>407</v>
      </c>
      <c r="C77" s="11" t="s">
        <v>408</v>
      </c>
      <c r="D77" s="11" t="s">
        <v>409</v>
      </c>
      <c r="E77" s="12">
        <v>31113.0</v>
      </c>
      <c r="F77" s="11" t="s">
        <v>410</v>
      </c>
      <c r="G77" s="11" t="s">
        <v>405</v>
      </c>
      <c r="H77" s="11" t="s">
        <v>17</v>
      </c>
      <c r="I77" s="11" t="s">
        <v>411</v>
      </c>
      <c r="J77" s="13"/>
      <c r="K77" s="13"/>
      <c r="L77" s="8">
        <f>VLOOKUP(G77,Datas!$A$1:$B$50,2,FALSE)</f>
        <v>45750</v>
      </c>
    </row>
    <row r="78" ht="22.5" customHeight="1">
      <c r="A78" s="10">
        <v>45733.699468182866</v>
      </c>
      <c r="B78" s="11" t="s">
        <v>412</v>
      </c>
      <c r="C78" s="11" t="s">
        <v>413</v>
      </c>
      <c r="D78" s="11" t="s">
        <v>414</v>
      </c>
      <c r="E78" s="12">
        <v>32243.0</v>
      </c>
      <c r="F78" s="11" t="s">
        <v>415</v>
      </c>
      <c r="G78" s="11" t="s">
        <v>405</v>
      </c>
      <c r="H78" s="11" t="s">
        <v>17</v>
      </c>
      <c r="I78" s="11" t="s">
        <v>416</v>
      </c>
      <c r="J78" s="13"/>
      <c r="K78" s="13"/>
      <c r="L78" s="8">
        <f>VLOOKUP(G78,Datas!$A$1:$B$50,2,FALSE)</f>
        <v>45750</v>
      </c>
    </row>
    <row r="79" ht="22.5" customHeight="1">
      <c r="A79" s="5">
        <v>45741.503249421294</v>
      </c>
      <c r="B79" s="6" t="s">
        <v>417</v>
      </c>
      <c r="C79" s="6" t="s">
        <v>418</v>
      </c>
      <c r="D79" s="6" t="s">
        <v>419</v>
      </c>
      <c r="E79" s="7">
        <v>37837.0</v>
      </c>
      <c r="F79" s="6" t="s">
        <v>420</v>
      </c>
      <c r="G79" s="6" t="s">
        <v>421</v>
      </c>
      <c r="H79" s="6" t="s">
        <v>17</v>
      </c>
      <c r="I79" s="6" t="s">
        <v>422</v>
      </c>
      <c r="L79" s="8">
        <f>VLOOKUP(G79,Datas!$A$1:$B$50,2,FALSE)</f>
        <v>45750</v>
      </c>
    </row>
    <row r="80" ht="22.5" customHeight="1">
      <c r="A80" s="5">
        <v>45748.79275356482</v>
      </c>
      <c r="B80" s="6" t="s">
        <v>423</v>
      </c>
      <c r="C80" s="6" t="s">
        <v>424</v>
      </c>
      <c r="D80" s="6" t="s">
        <v>425</v>
      </c>
      <c r="E80" s="7">
        <v>26889.0</v>
      </c>
      <c r="F80" s="6" t="s">
        <v>426</v>
      </c>
      <c r="G80" s="6" t="s">
        <v>421</v>
      </c>
      <c r="H80" s="6" t="s">
        <v>24</v>
      </c>
      <c r="K80" s="6" t="s">
        <v>313</v>
      </c>
      <c r="L80" s="9">
        <f>VLOOKUP(G80,Datas!$A$1:$B$50,2,FALSE)</f>
        <v>45750</v>
      </c>
    </row>
    <row r="81" ht="22.5" customHeight="1">
      <c r="A81" s="5">
        <v>45741.4985540162</v>
      </c>
      <c r="B81" s="6" t="s">
        <v>427</v>
      </c>
      <c r="C81" s="6" t="s">
        <v>428</v>
      </c>
      <c r="D81" s="6" t="s">
        <v>429</v>
      </c>
      <c r="E81" s="7">
        <v>28089.0</v>
      </c>
      <c r="F81" s="6" t="s">
        <v>430</v>
      </c>
      <c r="G81" s="6" t="s">
        <v>421</v>
      </c>
      <c r="H81" s="6" t="s">
        <v>17</v>
      </c>
      <c r="I81" s="6" t="s">
        <v>431</v>
      </c>
      <c r="L81" s="8">
        <f>VLOOKUP(G81,Datas!$A$1:$B$50,2,FALSE)</f>
        <v>45750</v>
      </c>
    </row>
    <row r="82" ht="22.5" customHeight="1">
      <c r="A82" s="5">
        <v>45748.9674941088</v>
      </c>
      <c r="B82" s="6" t="s">
        <v>432</v>
      </c>
      <c r="C82" s="6" t="s">
        <v>433</v>
      </c>
      <c r="D82" s="6" t="s">
        <v>434</v>
      </c>
      <c r="E82" s="7">
        <v>23638.0</v>
      </c>
      <c r="F82" s="6" t="s">
        <v>435</v>
      </c>
      <c r="G82" s="6" t="s">
        <v>421</v>
      </c>
      <c r="H82" s="6" t="s">
        <v>24</v>
      </c>
      <c r="K82" s="6" t="s">
        <v>436</v>
      </c>
      <c r="L82" s="9">
        <f>VLOOKUP(G82,Datas!$A$1:$B$50,2,FALSE)</f>
        <v>45750</v>
      </c>
    </row>
    <row r="83" ht="22.5" customHeight="1">
      <c r="A83" s="5">
        <v>45748.43815271991</v>
      </c>
      <c r="B83" s="6" t="s">
        <v>437</v>
      </c>
      <c r="C83" s="6" t="s">
        <v>438</v>
      </c>
      <c r="D83" s="6" t="s">
        <v>439</v>
      </c>
      <c r="E83" s="7">
        <v>36520.0</v>
      </c>
      <c r="F83" s="6" t="s">
        <v>440</v>
      </c>
      <c r="G83" s="6" t="s">
        <v>441</v>
      </c>
      <c r="H83" s="6" t="s">
        <v>17</v>
      </c>
      <c r="I83" s="6" t="s">
        <v>442</v>
      </c>
      <c r="L83" s="9">
        <f>VLOOKUP(G83,Datas!$A$1:$B$50,2,FALSE)</f>
        <v>45750</v>
      </c>
    </row>
    <row r="84" ht="22.5" customHeight="1">
      <c r="A84" s="5">
        <v>45743.476181342594</v>
      </c>
      <c r="B84" s="6" t="s">
        <v>443</v>
      </c>
      <c r="C84" s="6" t="s">
        <v>444</v>
      </c>
      <c r="D84" s="6" t="s">
        <v>445</v>
      </c>
      <c r="E84" s="7">
        <v>31173.0</v>
      </c>
      <c r="F84" s="6" t="s">
        <v>446</v>
      </c>
      <c r="G84" s="6" t="s">
        <v>441</v>
      </c>
      <c r="H84" s="6" t="s">
        <v>24</v>
      </c>
      <c r="K84" s="6" t="s">
        <v>447</v>
      </c>
      <c r="L84" s="8">
        <f>VLOOKUP(G84,Datas!$A$1:$B$50,2,FALSE)</f>
        <v>45750</v>
      </c>
    </row>
    <row r="85" ht="22.5" customHeight="1">
      <c r="A85" s="5">
        <v>45747.40243403935</v>
      </c>
      <c r="B85" s="6" t="s">
        <v>448</v>
      </c>
      <c r="C85" s="6" t="s">
        <v>449</v>
      </c>
      <c r="D85" s="6" t="s">
        <v>450</v>
      </c>
      <c r="E85" s="7">
        <v>32278.0</v>
      </c>
      <c r="F85" s="6" t="s">
        <v>451</v>
      </c>
      <c r="G85" s="6" t="s">
        <v>441</v>
      </c>
      <c r="H85" s="6" t="s">
        <v>17</v>
      </c>
      <c r="I85" s="6" t="s">
        <v>452</v>
      </c>
      <c r="L85" s="9">
        <f>VLOOKUP(G85,Datas!$A$1:$B$50,2,FALSE)</f>
        <v>45750</v>
      </c>
    </row>
    <row r="86" ht="22.5" customHeight="1">
      <c r="A86" s="5">
        <v>45742.90465269676</v>
      </c>
      <c r="B86" s="6" t="s">
        <v>453</v>
      </c>
      <c r="C86" s="6" t="s">
        <v>454</v>
      </c>
      <c r="D86" s="6" t="s">
        <v>455</v>
      </c>
      <c r="E86" s="7">
        <v>33417.0</v>
      </c>
      <c r="F86" s="6" t="s">
        <v>456</v>
      </c>
      <c r="G86" s="6" t="s">
        <v>441</v>
      </c>
      <c r="H86" s="6" t="s">
        <v>24</v>
      </c>
      <c r="K86" s="6" t="s">
        <v>344</v>
      </c>
      <c r="L86" s="8">
        <f>VLOOKUP(G86,Datas!$A$1:$B$50,2,FALSE)</f>
        <v>45750</v>
      </c>
    </row>
    <row r="87" ht="22.5" customHeight="1">
      <c r="A87" s="5">
        <v>45749.684180763885</v>
      </c>
      <c r="B87" s="6" t="s">
        <v>457</v>
      </c>
      <c r="C87" s="6" t="s">
        <v>458</v>
      </c>
      <c r="D87" s="6" t="s">
        <v>459</v>
      </c>
      <c r="E87" s="7">
        <v>25413.0</v>
      </c>
      <c r="F87" s="6" t="s">
        <v>460</v>
      </c>
      <c r="G87" s="6" t="s">
        <v>461</v>
      </c>
      <c r="H87" s="6" t="s">
        <v>17</v>
      </c>
      <c r="I87" s="6" t="s">
        <v>462</v>
      </c>
      <c r="L87" s="9">
        <f>VLOOKUP(G87,Datas!$A$1:$B$50,2,FALSE)</f>
        <v>45750</v>
      </c>
    </row>
    <row r="88" ht="22.5" customHeight="1">
      <c r="A88" s="5">
        <v>45749.6915340625</v>
      </c>
      <c r="B88" s="6" t="s">
        <v>463</v>
      </c>
      <c r="C88" s="6" t="s">
        <v>464</v>
      </c>
      <c r="D88" s="6" t="s">
        <v>465</v>
      </c>
      <c r="E88" s="7">
        <v>30330.0</v>
      </c>
      <c r="F88" s="6" t="s">
        <v>466</v>
      </c>
      <c r="G88" s="6" t="s">
        <v>461</v>
      </c>
      <c r="H88" s="6" t="s">
        <v>24</v>
      </c>
      <c r="K88" s="6" t="s">
        <v>467</v>
      </c>
      <c r="L88" s="9">
        <f>VLOOKUP(G88,Datas!$A$1:$B$50,2,FALSE)</f>
        <v>45750</v>
      </c>
    </row>
    <row r="89" ht="22.5" customHeight="1">
      <c r="A89" s="5">
        <v>45749.705592928236</v>
      </c>
      <c r="B89" s="6" t="s">
        <v>468</v>
      </c>
      <c r="C89" s="6" t="s">
        <v>469</v>
      </c>
      <c r="D89" s="6" t="s">
        <v>470</v>
      </c>
      <c r="E89" s="7">
        <v>33019.0</v>
      </c>
      <c r="F89" s="6" t="s">
        <v>471</v>
      </c>
      <c r="G89" s="6" t="s">
        <v>461</v>
      </c>
      <c r="H89" s="6" t="s">
        <v>24</v>
      </c>
      <c r="K89" s="6" t="s">
        <v>472</v>
      </c>
      <c r="L89" s="9">
        <f>VLOOKUP(G89,Datas!$A$1:$B$50,2,FALSE)</f>
        <v>45750</v>
      </c>
    </row>
    <row r="90" ht="22.5" customHeight="1">
      <c r="A90" s="5">
        <v>45747.42616796296</v>
      </c>
      <c r="B90" s="6" t="s">
        <v>473</v>
      </c>
      <c r="C90" s="6" t="s">
        <v>474</v>
      </c>
      <c r="D90" s="6" t="s">
        <v>475</v>
      </c>
      <c r="E90" s="7">
        <v>34041.0</v>
      </c>
      <c r="F90" s="6" t="s">
        <v>476</v>
      </c>
      <c r="G90" s="6" t="s">
        <v>477</v>
      </c>
      <c r="H90" s="6" t="s">
        <v>17</v>
      </c>
      <c r="I90" s="6" t="s">
        <v>478</v>
      </c>
      <c r="L90" s="9">
        <f>VLOOKUP(G90,Datas!$A$1:$B$50,2,FALSE)</f>
        <v>45750</v>
      </c>
    </row>
    <row r="91" ht="22.5" customHeight="1">
      <c r="A91" s="5">
        <v>45747.428370486115</v>
      </c>
      <c r="B91" s="6" t="s">
        <v>473</v>
      </c>
      <c r="C91" s="6" t="s">
        <v>479</v>
      </c>
      <c r="D91" s="6" t="s">
        <v>480</v>
      </c>
      <c r="E91" s="7">
        <v>31718.0</v>
      </c>
      <c r="F91" s="6" t="s">
        <v>481</v>
      </c>
      <c r="G91" s="6" t="s">
        <v>477</v>
      </c>
      <c r="H91" s="6" t="s">
        <v>17</v>
      </c>
      <c r="I91" s="6" t="s">
        <v>482</v>
      </c>
      <c r="L91" s="9">
        <f>VLOOKUP(G91,Datas!$A$1:$B$50,2,FALSE)</f>
        <v>45750</v>
      </c>
    </row>
    <row r="92" ht="22.5" customHeight="1">
      <c r="A92" s="5">
        <v>45747.427453854165</v>
      </c>
      <c r="B92" s="6" t="s">
        <v>473</v>
      </c>
      <c r="C92" s="6" t="s">
        <v>483</v>
      </c>
      <c r="D92" s="6" t="s">
        <v>484</v>
      </c>
      <c r="E92" s="7">
        <v>29106.0</v>
      </c>
      <c r="F92" s="6" t="s">
        <v>485</v>
      </c>
      <c r="G92" s="6" t="s">
        <v>477</v>
      </c>
      <c r="H92" s="6" t="s">
        <v>17</v>
      </c>
      <c r="I92" s="6" t="s">
        <v>478</v>
      </c>
      <c r="L92" s="9">
        <f>VLOOKUP(G92,Datas!$A$1:$B$50,2,FALSE)</f>
        <v>45750</v>
      </c>
    </row>
    <row r="93" ht="22.5" customHeight="1">
      <c r="A93" s="5">
        <v>45743.40866224537</v>
      </c>
      <c r="B93" s="6" t="s">
        <v>486</v>
      </c>
      <c r="C93" s="6" t="s">
        <v>487</v>
      </c>
      <c r="D93" s="6" t="s">
        <v>488</v>
      </c>
      <c r="E93" s="7">
        <v>29246.0</v>
      </c>
      <c r="F93" s="6" t="s">
        <v>489</v>
      </c>
      <c r="G93" s="6" t="s">
        <v>477</v>
      </c>
      <c r="H93" s="6" t="s">
        <v>17</v>
      </c>
      <c r="I93" s="6" t="s">
        <v>490</v>
      </c>
      <c r="L93" s="8">
        <f>VLOOKUP(G93,Datas!$A$1:$B$50,2,FALSE)</f>
        <v>45750</v>
      </c>
    </row>
    <row r="94" ht="22.5" customHeight="1">
      <c r="A94" s="5">
        <v>45748.947669710644</v>
      </c>
      <c r="B94" s="6" t="s">
        <v>491</v>
      </c>
      <c r="C94" s="6" t="s">
        <v>492</v>
      </c>
      <c r="D94" s="6" t="s">
        <v>493</v>
      </c>
      <c r="E94" s="7">
        <v>26778.0</v>
      </c>
      <c r="F94" s="6" t="s">
        <v>494</v>
      </c>
      <c r="G94" s="6" t="s">
        <v>495</v>
      </c>
      <c r="H94" s="6" t="s">
        <v>24</v>
      </c>
      <c r="K94" s="6" t="s">
        <v>107</v>
      </c>
      <c r="L94" s="9">
        <f>VLOOKUP(G94,Datas!$A$1:$B$50,2,FALSE)</f>
        <v>45750</v>
      </c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</cols>
  <sheetData>
    <row r="1" ht="22.5" customHeight="1">
      <c r="A1" s="14" t="s">
        <v>496</v>
      </c>
      <c r="B1" s="14" t="s">
        <v>497</v>
      </c>
    </row>
    <row r="2" ht="22.5" customHeight="1">
      <c r="A2" s="6" t="s">
        <v>16</v>
      </c>
      <c r="B2" s="15">
        <v>45749.0</v>
      </c>
    </row>
    <row r="3" ht="22.5" customHeight="1">
      <c r="A3" s="16" t="s">
        <v>51</v>
      </c>
      <c r="B3" s="15">
        <v>45749.0</v>
      </c>
    </row>
    <row r="4" ht="22.5" customHeight="1">
      <c r="A4" s="16" t="s">
        <v>62</v>
      </c>
      <c r="B4" s="15">
        <v>45749.0</v>
      </c>
    </row>
    <row r="5" ht="22.5" customHeight="1">
      <c r="A5" s="16" t="s">
        <v>73</v>
      </c>
      <c r="B5" s="15">
        <v>45749.0</v>
      </c>
    </row>
    <row r="6" ht="22.5" customHeight="1">
      <c r="A6" s="16" t="s">
        <v>84</v>
      </c>
      <c r="B6" s="15">
        <v>45749.0</v>
      </c>
    </row>
    <row r="7" ht="22.5" customHeight="1">
      <c r="A7" s="16" t="s">
        <v>90</v>
      </c>
      <c r="B7" s="15">
        <v>45749.0</v>
      </c>
    </row>
    <row r="8" ht="22.5" customHeight="1">
      <c r="A8" s="16" t="s">
        <v>112</v>
      </c>
      <c r="B8" s="15">
        <v>45749.0</v>
      </c>
    </row>
    <row r="9" ht="22.5" customHeight="1">
      <c r="A9" s="17" t="s">
        <v>127</v>
      </c>
      <c r="B9" s="15">
        <v>45750.0</v>
      </c>
    </row>
    <row r="10" ht="22.5" customHeight="1">
      <c r="A10" s="16" t="s">
        <v>139</v>
      </c>
      <c r="B10" s="15">
        <v>45749.0</v>
      </c>
    </row>
    <row r="11" ht="22.5" customHeight="1">
      <c r="A11" s="16" t="s">
        <v>150</v>
      </c>
      <c r="B11" s="15">
        <v>45749.0</v>
      </c>
    </row>
    <row r="12" ht="22.5" customHeight="1">
      <c r="A12" s="16" t="s">
        <v>156</v>
      </c>
      <c r="B12" s="15">
        <v>45749.0</v>
      </c>
    </row>
    <row r="13" ht="22.5" customHeight="1">
      <c r="A13" s="16" t="s">
        <v>162</v>
      </c>
      <c r="B13" s="15">
        <v>45749.0</v>
      </c>
    </row>
    <row r="14" ht="22.5" customHeight="1">
      <c r="A14" s="16" t="s">
        <v>183</v>
      </c>
      <c r="B14" s="15">
        <v>45749.0</v>
      </c>
    </row>
    <row r="15" ht="22.5" customHeight="1">
      <c r="A15" s="16" t="s">
        <v>498</v>
      </c>
      <c r="B15" s="15">
        <v>45749.0</v>
      </c>
    </row>
    <row r="16" ht="22.5" customHeight="1">
      <c r="A16" s="16" t="s">
        <v>194</v>
      </c>
      <c r="B16" s="15">
        <v>45749.0</v>
      </c>
    </row>
    <row r="17" ht="22.5" customHeight="1">
      <c r="A17" s="16" t="s">
        <v>200</v>
      </c>
      <c r="B17" s="15">
        <v>45749.0</v>
      </c>
    </row>
    <row r="18" ht="22.5" customHeight="1">
      <c r="A18" s="16" t="s">
        <v>206</v>
      </c>
      <c r="B18" s="15">
        <v>45749.0</v>
      </c>
    </row>
    <row r="19" ht="22.5" customHeight="1">
      <c r="A19" s="16" t="s">
        <v>226</v>
      </c>
      <c r="B19" s="15">
        <v>45749.0</v>
      </c>
    </row>
    <row r="20" ht="22.5" customHeight="1">
      <c r="A20" s="16" t="s">
        <v>238</v>
      </c>
      <c r="B20" s="15">
        <v>45749.0</v>
      </c>
    </row>
    <row r="21" ht="22.5" customHeight="1">
      <c r="A21" s="16" t="s">
        <v>249</v>
      </c>
      <c r="B21" s="15">
        <v>45750.0</v>
      </c>
    </row>
    <row r="22" ht="22.5" customHeight="1">
      <c r="A22" s="16" t="s">
        <v>260</v>
      </c>
      <c r="B22" s="15">
        <v>45750.0</v>
      </c>
    </row>
    <row r="23" ht="22.5" customHeight="1">
      <c r="A23" s="16" t="s">
        <v>273</v>
      </c>
      <c r="B23" s="15">
        <v>45750.0</v>
      </c>
    </row>
    <row r="24" ht="22.5" customHeight="1">
      <c r="A24" s="16" t="s">
        <v>284</v>
      </c>
      <c r="B24" s="15">
        <v>45750.0</v>
      </c>
    </row>
    <row r="25" ht="22.5" customHeight="1">
      <c r="A25" s="16" t="s">
        <v>302</v>
      </c>
      <c r="B25" s="15">
        <v>45750.0</v>
      </c>
    </row>
    <row r="26" ht="22.5" customHeight="1">
      <c r="A26" s="16" t="s">
        <v>329</v>
      </c>
      <c r="B26" s="15">
        <v>45750.0</v>
      </c>
    </row>
    <row r="27" ht="22.5" customHeight="1">
      <c r="A27" s="16" t="s">
        <v>337</v>
      </c>
      <c r="B27" s="15">
        <v>45750.0</v>
      </c>
    </row>
    <row r="28" ht="22.5" customHeight="1">
      <c r="A28" s="16" t="s">
        <v>363</v>
      </c>
      <c r="B28" s="15">
        <v>45750.0</v>
      </c>
    </row>
    <row r="29" ht="22.5" customHeight="1">
      <c r="A29" s="16" t="s">
        <v>369</v>
      </c>
      <c r="B29" s="15">
        <v>45750.0</v>
      </c>
    </row>
    <row r="30" ht="22.5" customHeight="1">
      <c r="A30" s="16" t="s">
        <v>394</v>
      </c>
      <c r="B30" s="15">
        <v>45750.0</v>
      </c>
    </row>
    <row r="31" ht="22.5" customHeight="1">
      <c r="A31" s="16" t="s">
        <v>405</v>
      </c>
      <c r="B31" s="15">
        <v>45750.0</v>
      </c>
    </row>
    <row r="32" ht="22.5" customHeight="1">
      <c r="A32" s="16" t="s">
        <v>421</v>
      </c>
      <c r="B32" s="15">
        <v>45750.0</v>
      </c>
    </row>
    <row r="33" ht="22.5" customHeight="1">
      <c r="A33" s="16" t="s">
        <v>441</v>
      </c>
      <c r="B33" s="15">
        <v>45750.0</v>
      </c>
    </row>
    <row r="34" ht="22.5" customHeight="1">
      <c r="A34" s="16" t="s">
        <v>461</v>
      </c>
      <c r="B34" s="15">
        <v>45750.0</v>
      </c>
    </row>
    <row r="35" ht="22.5" customHeight="1">
      <c r="A35" s="16" t="s">
        <v>499</v>
      </c>
      <c r="B35" s="15">
        <v>45750.0</v>
      </c>
    </row>
    <row r="36" ht="22.5" customHeight="1">
      <c r="A36" s="16" t="s">
        <v>477</v>
      </c>
      <c r="B36" s="15">
        <v>45750.0</v>
      </c>
    </row>
    <row r="37" ht="22.5" customHeight="1">
      <c r="A37" s="16" t="s">
        <v>495</v>
      </c>
      <c r="B37" s="15">
        <v>45750.0</v>
      </c>
    </row>
  </sheetData>
  <dataValidations>
    <dataValidation type="custom" allowBlank="1" showDropDown="1" sqref="B2:B37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500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9" t="s">
        <v>11</v>
      </c>
    </row>
    <row r="2">
      <c r="A2" s="20">
        <v>45734.42081329861</v>
      </c>
      <c r="B2" s="19" t="s">
        <v>208</v>
      </c>
      <c r="C2" s="19" t="s">
        <v>209</v>
      </c>
      <c r="D2" s="19" t="s">
        <v>210</v>
      </c>
      <c r="E2" s="21">
        <v>22821.0</v>
      </c>
      <c r="F2" s="19" t="s">
        <v>211</v>
      </c>
      <c r="G2" s="19" t="s">
        <v>206</v>
      </c>
      <c r="H2" s="19" t="s">
        <v>17</v>
      </c>
      <c r="I2" s="19" t="s">
        <v>212</v>
      </c>
      <c r="J2" s="22"/>
      <c r="K2" s="22"/>
      <c r="L2" s="23">
        <v>45749.0</v>
      </c>
    </row>
    <row r="3">
      <c r="A3" s="20">
        <v>45734.422735625005</v>
      </c>
      <c r="B3" s="19" t="s">
        <v>234</v>
      </c>
      <c r="C3" s="19" t="s">
        <v>235</v>
      </c>
      <c r="D3" s="19" t="s">
        <v>236</v>
      </c>
      <c r="E3" s="21">
        <v>26088.0</v>
      </c>
      <c r="F3" s="19" t="s">
        <v>237</v>
      </c>
      <c r="G3" s="19" t="s">
        <v>238</v>
      </c>
      <c r="H3" s="19" t="s">
        <v>17</v>
      </c>
      <c r="I3" s="19" t="s">
        <v>239</v>
      </c>
      <c r="J3" s="22"/>
      <c r="K3" s="22"/>
      <c r="L3" s="23">
        <v>45749.0</v>
      </c>
    </row>
    <row r="4">
      <c r="A4" s="20">
        <v>45734.426023761574</v>
      </c>
      <c r="B4" s="19" t="s">
        <v>213</v>
      </c>
      <c r="C4" s="19" t="s">
        <v>214</v>
      </c>
      <c r="D4" s="19" t="s">
        <v>215</v>
      </c>
      <c r="E4" s="21">
        <v>27677.0</v>
      </c>
      <c r="F4" s="19" t="s">
        <v>216</v>
      </c>
      <c r="G4" s="19" t="s">
        <v>206</v>
      </c>
      <c r="H4" s="19" t="s">
        <v>17</v>
      </c>
      <c r="I4" s="19" t="s">
        <v>217</v>
      </c>
      <c r="J4" s="22"/>
      <c r="K4" s="22"/>
      <c r="L4" s="23">
        <v>45749.0</v>
      </c>
    </row>
    <row r="5">
      <c r="A5" s="20">
        <v>45734.474377418985</v>
      </c>
      <c r="B5" s="19" t="s">
        <v>240</v>
      </c>
      <c r="C5" s="19" t="s">
        <v>241</v>
      </c>
      <c r="D5" s="19" t="s">
        <v>242</v>
      </c>
      <c r="E5" s="21">
        <v>32021.0</v>
      </c>
      <c r="F5" s="19" t="s">
        <v>243</v>
      </c>
      <c r="G5" s="19" t="s">
        <v>238</v>
      </c>
      <c r="H5" s="19" t="s">
        <v>17</v>
      </c>
      <c r="I5" s="19" t="s">
        <v>244</v>
      </c>
      <c r="J5" s="22"/>
      <c r="K5" s="22"/>
      <c r="L5" s="23">
        <v>45749.0</v>
      </c>
    </row>
    <row r="6">
      <c r="A6" s="20">
        <v>45734.508854803236</v>
      </c>
      <c r="B6" s="19" t="s">
        <v>218</v>
      </c>
      <c r="C6" s="19" t="s">
        <v>219</v>
      </c>
      <c r="D6" s="19" t="s">
        <v>220</v>
      </c>
      <c r="E6" s="21">
        <v>25783.0</v>
      </c>
      <c r="F6" s="19" t="s">
        <v>221</v>
      </c>
      <c r="G6" s="19" t="s">
        <v>206</v>
      </c>
      <c r="H6" s="19" t="s">
        <v>24</v>
      </c>
      <c r="I6" s="22"/>
      <c r="J6" s="22"/>
      <c r="K6" s="19" t="s">
        <v>30</v>
      </c>
      <c r="L6" s="23">
        <v>45749.0</v>
      </c>
    </row>
    <row r="7">
      <c r="A7" s="20">
        <v>45736.61947784723</v>
      </c>
      <c r="B7" s="19" t="s">
        <v>118</v>
      </c>
      <c r="C7" s="19" t="s">
        <v>119</v>
      </c>
      <c r="D7" s="19" t="s">
        <v>120</v>
      </c>
      <c r="E7" s="21">
        <v>32569.0</v>
      </c>
      <c r="F7" s="19" t="s">
        <v>121</v>
      </c>
      <c r="G7" s="19" t="s">
        <v>112</v>
      </c>
      <c r="H7" s="19" t="s">
        <v>17</v>
      </c>
      <c r="I7" s="19" t="s">
        <v>122</v>
      </c>
      <c r="J7" s="22"/>
      <c r="K7" s="22"/>
      <c r="L7" s="23">
        <v>45749.0</v>
      </c>
    </row>
    <row r="8">
      <c r="A8" s="20">
        <v>45737.40186895833</v>
      </c>
      <c r="B8" s="19" t="s">
        <v>86</v>
      </c>
      <c r="C8" s="19" t="s">
        <v>87</v>
      </c>
      <c r="D8" s="19" t="s">
        <v>88</v>
      </c>
      <c r="E8" s="21">
        <v>31964.0</v>
      </c>
      <c r="F8" s="19" t="s">
        <v>89</v>
      </c>
      <c r="G8" s="19" t="s">
        <v>90</v>
      </c>
      <c r="H8" s="19" t="s">
        <v>17</v>
      </c>
      <c r="I8" s="19" t="s">
        <v>91</v>
      </c>
      <c r="J8" s="22"/>
      <c r="K8" s="22"/>
      <c r="L8" s="23">
        <v>45749.0</v>
      </c>
    </row>
    <row r="9">
      <c r="A9" s="20">
        <v>45737.415236747685</v>
      </c>
      <c r="B9" s="19" t="s">
        <v>97</v>
      </c>
      <c r="C9" s="19" t="s">
        <v>98</v>
      </c>
      <c r="D9" s="19" t="s">
        <v>99</v>
      </c>
      <c r="E9" s="21" t="s">
        <v>100</v>
      </c>
      <c r="F9" s="19" t="s">
        <v>101</v>
      </c>
      <c r="G9" s="19" t="s">
        <v>90</v>
      </c>
      <c r="H9" s="19" t="s">
        <v>24</v>
      </c>
      <c r="I9" s="22"/>
      <c r="J9" s="22"/>
      <c r="K9" s="19" t="s">
        <v>102</v>
      </c>
      <c r="L9" s="23">
        <v>45749.0</v>
      </c>
    </row>
    <row r="10">
      <c r="A10" s="20">
        <v>45737.472978969905</v>
      </c>
      <c r="B10" s="19" t="s">
        <v>12</v>
      </c>
      <c r="C10" s="19" t="s">
        <v>13</v>
      </c>
      <c r="D10" s="19" t="s">
        <v>14</v>
      </c>
      <c r="E10" s="21">
        <v>29703.0</v>
      </c>
      <c r="F10" s="19" t="s">
        <v>15</v>
      </c>
      <c r="G10" s="19" t="s">
        <v>16</v>
      </c>
      <c r="H10" s="19" t="s">
        <v>17</v>
      </c>
      <c r="I10" s="19" t="s">
        <v>18</v>
      </c>
      <c r="J10" s="19" t="s">
        <v>19</v>
      </c>
      <c r="K10" s="22"/>
      <c r="L10" s="23">
        <v>45749.0</v>
      </c>
    </row>
    <row r="11">
      <c r="A11" s="20">
        <v>45737.493652488425</v>
      </c>
      <c r="B11" s="19" t="s">
        <v>108</v>
      </c>
      <c r="C11" s="19" t="s">
        <v>109</v>
      </c>
      <c r="D11" s="19" t="s">
        <v>110</v>
      </c>
      <c r="E11" s="21">
        <v>29349.0</v>
      </c>
      <c r="F11" s="19" t="s">
        <v>111</v>
      </c>
      <c r="G11" s="19" t="s">
        <v>112</v>
      </c>
      <c r="H11" s="19" t="s">
        <v>24</v>
      </c>
      <c r="I11" s="22"/>
      <c r="J11" s="22"/>
      <c r="K11" s="19" t="s">
        <v>107</v>
      </c>
      <c r="L11" s="23">
        <v>45749.0</v>
      </c>
    </row>
    <row r="12">
      <c r="A12" s="20">
        <v>45737.543490509255</v>
      </c>
      <c r="B12" s="19" t="s">
        <v>26</v>
      </c>
      <c r="C12" s="19" t="s">
        <v>27</v>
      </c>
      <c r="D12" s="19" t="s">
        <v>28</v>
      </c>
      <c r="E12" s="21">
        <v>21421.0</v>
      </c>
      <c r="F12" s="19" t="s">
        <v>29</v>
      </c>
      <c r="G12" s="19" t="s">
        <v>16</v>
      </c>
      <c r="H12" s="19" t="s">
        <v>24</v>
      </c>
      <c r="I12" s="22"/>
      <c r="J12" s="22"/>
      <c r="K12" s="19" t="s">
        <v>30</v>
      </c>
      <c r="L12" s="23">
        <v>45749.0</v>
      </c>
    </row>
    <row r="13">
      <c r="A13" s="20">
        <v>45737.567403402776</v>
      </c>
      <c r="B13" s="19" t="s">
        <v>92</v>
      </c>
      <c r="C13" s="19" t="s">
        <v>93</v>
      </c>
      <c r="D13" s="19" t="s">
        <v>94</v>
      </c>
      <c r="E13" s="21">
        <v>28159.0</v>
      </c>
      <c r="F13" s="19" t="s">
        <v>95</v>
      </c>
      <c r="G13" s="19" t="s">
        <v>90</v>
      </c>
      <c r="H13" s="19" t="s">
        <v>17</v>
      </c>
      <c r="I13" s="19" t="s">
        <v>96</v>
      </c>
      <c r="J13" s="22"/>
      <c r="K13" s="22"/>
      <c r="L13" s="23">
        <v>45749.0</v>
      </c>
    </row>
    <row r="14">
      <c r="A14" s="20">
        <v>45740.73473334491</v>
      </c>
      <c r="B14" s="19" t="s">
        <v>222</v>
      </c>
      <c r="C14" s="19" t="s">
        <v>223</v>
      </c>
      <c r="D14" s="19" t="s">
        <v>224</v>
      </c>
      <c r="E14" s="21">
        <v>28370.0</v>
      </c>
      <c r="F14" s="19" t="s">
        <v>225</v>
      </c>
      <c r="G14" s="19" t="s">
        <v>226</v>
      </c>
      <c r="H14" s="19" t="s">
        <v>17</v>
      </c>
      <c r="I14" s="19" t="s">
        <v>227</v>
      </c>
      <c r="J14" s="22"/>
      <c r="K14" s="22"/>
      <c r="L14" s="23">
        <v>45749.0</v>
      </c>
    </row>
    <row r="15">
      <c r="A15" s="20">
        <v>45740.73738910879</v>
      </c>
      <c r="B15" s="19" t="s">
        <v>228</v>
      </c>
      <c r="C15" s="19" t="s">
        <v>233</v>
      </c>
      <c r="D15" s="19" t="s">
        <v>230</v>
      </c>
      <c r="E15" s="21">
        <v>26400.0</v>
      </c>
      <c r="F15" s="19" t="s">
        <v>231</v>
      </c>
      <c r="G15" s="19" t="s">
        <v>226</v>
      </c>
      <c r="H15" s="19" t="s">
        <v>17</v>
      </c>
      <c r="I15" s="19" t="s">
        <v>232</v>
      </c>
      <c r="J15" s="22"/>
      <c r="K15" s="22"/>
      <c r="L15" s="23">
        <v>45749.0</v>
      </c>
    </row>
    <row r="16">
      <c r="A16" s="20">
        <v>45740.74341520833</v>
      </c>
      <c r="B16" s="19" t="s">
        <v>228</v>
      </c>
      <c r="C16" s="19" t="s">
        <v>229</v>
      </c>
      <c r="D16" s="19" t="s">
        <v>230</v>
      </c>
      <c r="E16" s="21">
        <v>26400.0</v>
      </c>
      <c r="F16" s="19" t="s">
        <v>231</v>
      </c>
      <c r="G16" s="19" t="s">
        <v>226</v>
      </c>
      <c r="H16" s="19" t="s">
        <v>17</v>
      </c>
      <c r="I16" s="19" t="s">
        <v>232</v>
      </c>
      <c r="J16" s="22"/>
      <c r="K16" s="22"/>
      <c r="L16" s="23">
        <v>45749.0</v>
      </c>
    </row>
    <row r="17">
      <c r="A17" s="20">
        <v>45741.4379587963</v>
      </c>
      <c r="B17" s="19" t="s">
        <v>20</v>
      </c>
      <c r="C17" s="19" t="s">
        <v>21</v>
      </c>
      <c r="D17" s="19" t="s">
        <v>22</v>
      </c>
      <c r="E17" s="21">
        <v>28265.0</v>
      </c>
      <c r="F17" s="19" t="s">
        <v>23</v>
      </c>
      <c r="G17" s="19" t="s">
        <v>16</v>
      </c>
      <c r="H17" s="19" t="s">
        <v>24</v>
      </c>
      <c r="I17" s="22"/>
      <c r="J17" s="22"/>
      <c r="K17" s="19" t="s">
        <v>25</v>
      </c>
      <c r="L17" s="23">
        <v>45749.0</v>
      </c>
    </row>
    <row r="18">
      <c r="A18" s="20">
        <v>45742.395136817126</v>
      </c>
      <c r="B18" s="19" t="s">
        <v>158</v>
      </c>
      <c r="C18" s="19" t="s">
        <v>159</v>
      </c>
      <c r="D18" s="19" t="s">
        <v>160</v>
      </c>
      <c r="E18" s="21">
        <v>36763.0</v>
      </c>
      <c r="F18" s="19" t="s">
        <v>161</v>
      </c>
      <c r="G18" s="19" t="s">
        <v>162</v>
      </c>
      <c r="H18" s="19" t="s">
        <v>17</v>
      </c>
      <c r="I18" s="19" t="s">
        <v>163</v>
      </c>
      <c r="J18" s="22"/>
      <c r="K18" s="22"/>
      <c r="L18" s="23">
        <v>45749.0</v>
      </c>
    </row>
    <row r="19">
      <c r="A19" s="20">
        <v>45742.461930844904</v>
      </c>
      <c r="B19" s="19" t="s">
        <v>47</v>
      </c>
      <c r="C19" s="19" t="s">
        <v>53</v>
      </c>
      <c r="D19" s="19" t="s">
        <v>54</v>
      </c>
      <c r="E19" s="21">
        <v>28554.0</v>
      </c>
      <c r="F19" s="19" t="s">
        <v>55</v>
      </c>
      <c r="G19" s="19" t="s">
        <v>51</v>
      </c>
      <c r="H19" s="19" t="s">
        <v>17</v>
      </c>
      <c r="I19" s="19" t="s">
        <v>56</v>
      </c>
      <c r="J19" s="19" t="s">
        <v>57</v>
      </c>
      <c r="K19" s="22"/>
      <c r="L19" s="23">
        <v>45749.0</v>
      </c>
    </row>
    <row r="20">
      <c r="A20" s="20">
        <v>45742.464447708335</v>
      </c>
      <c r="B20" s="19" t="s">
        <v>47</v>
      </c>
      <c r="C20" s="19" t="s">
        <v>48</v>
      </c>
      <c r="D20" s="19" t="s">
        <v>49</v>
      </c>
      <c r="E20" s="21">
        <v>21306.0</v>
      </c>
      <c r="F20" s="19" t="s">
        <v>50</v>
      </c>
      <c r="G20" s="19" t="s">
        <v>51</v>
      </c>
      <c r="H20" s="19" t="s">
        <v>17</v>
      </c>
      <c r="I20" s="19" t="s">
        <v>52</v>
      </c>
      <c r="J20" s="22"/>
      <c r="K20" s="22"/>
      <c r="L20" s="23">
        <v>45749.0</v>
      </c>
    </row>
    <row r="21">
      <c r="A21" s="20">
        <v>45742.51302890046</v>
      </c>
      <c r="B21" s="19" t="s">
        <v>190</v>
      </c>
      <c r="C21" s="19" t="s">
        <v>191</v>
      </c>
      <c r="D21" s="19" t="s">
        <v>192</v>
      </c>
      <c r="E21" s="21">
        <v>25126.0</v>
      </c>
      <c r="F21" s="19" t="s">
        <v>193</v>
      </c>
      <c r="G21" s="19" t="s">
        <v>194</v>
      </c>
      <c r="H21" s="19" t="s">
        <v>17</v>
      </c>
      <c r="I21" s="19" t="s">
        <v>195</v>
      </c>
      <c r="J21" s="22"/>
      <c r="K21" s="22"/>
      <c r="L21" s="23">
        <v>45749.0</v>
      </c>
    </row>
    <row r="22">
      <c r="A22" s="20">
        <v>45742.68634284722</v>
      </c>
      <c r="B22" s="19" t="s">
        <v>169</v>
      </c>
      <c r="C22" s="19" t="s">
        <v>170</v>
      </c>
      <c r="D22" s="19" t="s">
        <v>171</v>
      </c>
      <c r="E22" s="21">
        <v>30191.0</v>
      </c>
      <c r="F22" s="19" t="s">
        <v>172</v>
      </c>
      <c r="G22" s="19" t="s">
        <v>162</v>
      </c>
      <c r="H22" s="19" t="s">
        <v>24</v>
      </c>
      <c r="I22" s="22"/>
      <c r="J22" s="22"/>
      <c r="K22" s="19" t="s">
        <v>173</v>
      </c>
      <c r="L22" s="23">
        <v>45749.0</v>
      </c>
    </row>
    <row r="23">
      <c r="A23" s="20">
        <v>45743.134583692125</v>
      </c>
      <c r="B23" s="19" t="s">
        <v>164</v>
      </c>
      <c r="C23" s="19" t="s">
        <v>165</v>
      </c>
      <c r="D23" s="19" t="s">
        <v>166</v>
      </c>
      <c r="E23" s="21">
        <v>36213.0</v>
      </c>
      <c r="F23" s="19" t="s">
        <v>167</v>
      </c>
      <c r="G23" s="19" t="s">
        <v>162</v>
      </c>
      <c r="H23" s="19" t="s">
        <v>17</v>
      </c>
      <c r="I23" s="19" t="s">
        <v>168</v>
      </c>
      <c r="J23" s="22"/>
      <c r="K23" s="22"/>
      <c r="L23" s="23">
        <v>45749.0</v>
      </c>
    </row>
    <row r="24">
      <c r="A24" s="20">
        <v>45743.31354670139</v>
      </c>
      <c r="B24" s="19" t="s">
        <v>174</v>
      </c>
      <c r="C24" s="19" t="s">
        <v>175</v>
      </c>
      <c r="D24" s="19" t="s">
        <v>176</v>
      </c>
      <c r="E24" s="21">
        <v>27034.0</v>
      </c>
      <c r="F24" s="19" t="s">
        <v>177</v>
      </c>
      <c r="G24" s="19" t="s">
        <v>162</v>
      </c>
      <c r="H24" s="19" t="s">
        <v>24</v>
      </c>
      <c r="I24" s="22"/>
      <c r="J24" s="22"/>
      <c r="K24" s="19" t="s">
        <v>178</v>
      </c>
      <c r="L24" s="23">
        <v>45749.0</v>
      </c>
    </row>
    <row r="25">
      <c r="A25" s="20">
        <v>45743.5465596412</v>
      </c>
      <c r="B25" s="19" t="s">
        <v>113</v>
      </c>
      <c r="C25" s="19" t="s">
        <v>114</v>
      </c>
      <c r="D25" s="19" t="s">
        <v>115</v>
      </c>
      <c r="E25" s="21">
        <v>29773.0</v>
      </c>
      <c r="F25" s="19" t="s">
        <v>116</v>
      </c>
      <c r="G25" s="19" t="s">
        <v>112</v>
      </c>
      <c r="H25" s="19" t="s">
        <v>17</v>
      </c>
      <c r="I25" s="19" t="s">
        <v>117</v>
      </c>
      <c r="J25" s="22"/>
      <c r="K25" s="22"/>
      <c r="L25" s="23">
        <v>45749.0</v>
      </c>
    </row>
    <row r="26">
      <c r="A26" s="20">
        <v>45743.85855833333</v>
      </c>
      <c r="B26" s="19" t="s">
        <v>80</v>
      </c>
      <c r="C26" s="19" t="s">
        <v>81</v>
      </c>
      <c r="D26" s="19" t="s">
        <v>82</v>
      </c>
      <c r="E26" s="21">
        <v>24785.0</v>
      </c>
      <c r="F26" s="19" t="s">
        <v>83</v>
      </c>
      <c r="G26" s="19" t="s">
        <v>84</v>
      </c>
      <c r="H26" s="19" t="s">
        <v>17</v>
      </c>
      <c r="I26" s="19" t="s">
        <v>85</v>
      </c>
      <c r="J26" s="22"/>
      <c r="K26" s="22"/>
      <c r="L26" s="23">
        <v>45749.0</v>
      </c>
    </row>
    <row r="27">
      <c r="A27" s="20">
        <v>45733.69331619213</v>
      </c>
      <c r="B27" s="19" t="s">
        <v>407</v>
      </c>
      <c r="C27" s="19" t="s">
        <v>408</v>
      </c>
      <c r="D27" s="19" t="s">
        <v>409</v>
      </c>
      <c r="E27" s="21">
        <v>31113.0</v>
      </c>
      <c r="F27" s="19" t="s">
        <v>410</v>
      </c>
      <c r="G27" s="19" t="s">
        <v>405</v>
      </c>
      <c r="H27" s="19" t="s">
        <v>17</v>
      </c>
      <c r="I27" s="19" t="s">
        <v>411</v>
      </c>
      <c r="J27" s="22"/>
      <c r="K27" s="22"/>
      <c r="L27" s="23">
        <v>45750.0</v>
      </c>
    </row>
    <row r="28">
      <c r="A28" s="20">
        <v>45733.69585502315</v>
      </c>
      <c r="B28" s="19" t="s">
        <v>401</v>
      </c>
      <c r="C28" s="19" t="s">
        <v>402</v>
      </c>
      <c r="D28" s="19" t="s">
        <v>403</v>
      </c>
      <c r="E28" s="21">
        <v>30068.0</v>
      </c>
      <c r="F28" s="19" t="s">
        <v>404</v>
      </c>
      <c r="G28" s="19" t="s">
        <v>405</v>
      </c>
      <c r="H28" s="19" t="s">
        <v>24</v>
      </c>
      <c r="I28" s="22"/>
      <c r="J28" s="22"/>
      <c r="K28" s="19" t="s">
        <v>406</v>
      </c>
      <c r="L28" s="23">
        <v>45750.0</v>
      </c>
    </row>
    <row r="29">
      <c r="A29" s="20">
        <v>45733.699468182866</v>
      </c>
      <c r="B29" s="19" t="s">
        <v>412</v>
      </c>
      <c r="C29" s="19" t="s">
        <v>413</v>
      </c>
      <c r="D29" s="19" t="s">
        <v>414</v>
      </c>
      <c r="E29" s="21">
        <v>32243.0</v>
      </c>
      <c r="F29" s="19" t="s">
        <v>415</v>
      </c>
      <c r="G29" s="19" t="s">
        <v>405</v>
      </c>
      <c r="H29" s="19" t="s">
        <v>17</v>
      </c>
      <c r="I29" s="19" t="s">
        <v>416</v>
      </c>
      <c r="J29" s="22"/>
      <c r="K29" s="22"/>
      <c r="L29" s="23">
        <v>45750.0</v>
      </c>
    </row>
    <row r="30">
      <c r="A30" s="20">
        <v>45734.35210836805</v>
      </c>
      <c r="B30" s="19" t="s">
        <v>304</v>
      </c>
      <c r="C30" s="19" t="s">
        <v>305</v>
      </c>
      <c r="D30" s="19" t="s">
        <v>306</v>
      </c>
      <c r="E30" s="21">
        <v>34586.0</v>
      </c>
      <c r="F30" s="19" t="s">
        <v>307</v>
      </c>
      <c r="G30" s="19" t="s">
        <v>302</v>
      </c>
      <c r="H30" s="19" t="s">
        <v>17</v>
      </c>
      <c r="I30" s="19" t="s">
        <v>308</v>
      </c>
      <c r="J30" s="19" t="s">
        <v>309</v>
      </c>
      <c r="K30" s="22"/>
      <c r="L30" s="23">
        <v>45750.0</v>
      </c>
    </row>
    <row r="31">
      <c r="A31" s="20">
        <v>45734.35499594908</v>
      </c>
      <c r="B31" s="19" t="s">
        <v>314</v>
      </c>
      <c r="C31" s="19" t="s">
        <v>315</v>
      </c>
      <c r="D31" s="19" t="s">
        <v>316</v>
      </c>
      <c r="E31" s="21">
        <v>36339.0</v>
      </c>
      <c r="F31" s="19" t="s">
        <v>317</v>
      </c>
      <c r="G31" s="19" t="s">
        <v>302</v>
      </c>
      <c r="H31" s="19" t="s">
        <v>17</v>
      </c>
      <c r="I31" s="19" t="s">
        <v>318</v>
      </c>
      <c r="J31" s="19" t="s">
        <v>319</v>
      </c>
      <c r="K31" s="22"/>
      <c r="L31" s="23">
        <v>45750.0</v>
      </c>
    </row>
    <row r="32">
      <c r="A32" s="20">
        <v>45734.488081539355</v>
      </c>
      <c r="B32" s="19" t="s">
        <v>365</v>
      </c>
      <c r="C32" s="19" t="s">
        <v>366</v>
      </c>
      <c r="D32" s="19" t="s">
        <v>367</v>
      </c>
      <c r="E32" s="21">
        <v>28948.0</v>
      </c>
      <c r="F32" s="19" t="s">
        <v>368</v>
      </c>
      <c r="G32" s="19" t="s">
        <v>369</v>
      </c>
      <c r="H32" s="19" t="s">
        <v>17</v>
      </c>
      <c r="I32" s="19" t="s">
        <v>370</v>
      </c>
      <c r="J32" s="22"/>
      <c r="K32" s="22"/>
      <c r="L32" s="23">
        <v>45750.0</v>
      </c>
    </row>
    <row r="33">
      <c r="A33" s="20">
        <v>45735.74298113426</v>
      </c>
      <c r="B33" s="19" t="s">
        <v>345</v>
      </c>
      <c r="C33" s="19" t="s">
        <v>346</v>
      </c>
      <c r="D33" s="19" t="s">
        <v>347</v>
      </c>
      <c r="E33" s="21">
        <v>30017.0</v>
      </c>
      <c r="F33" s="19" t="s">
        <v>348</v>
      </c>
      <c r="G33" s="19" t="s">
        <v>337</v>
      </c>
      <c r="H33" s="19" t="s">
        <v>17</v>
      </c>
      <c r="I33" s="19" t="s">
        <v>349</v>
      </c>
      <c r="J33" s="22"/>
      <c r="K33" s="22"/>
      <c r="L33" s="23">
        <v>45750.0</v>
      </c>
    </row>
    <row r="34">
      <c r="A34" s="20">
        <v>45735.86323309028</v>
      </c>
      <c r="B34" s="19" t="s">
        <v>380</v>
      </c>
      <c r="C34" s="19" t="s">
        <v>381</v>
      </c>
      <c r="D34" s="19" t="s">
        <v>382</v>
      </c>
      <c r="E34" s="21">
        <v>30230.0</v>
      </c>
      <c r="F34" s="19" t="s">
        <v>383</v>
      </c>
      <c r="G34" s="19" t="s">
        <v>369</v>
      </c>
      <c r="H34" s="19" t="s">
        <v>24</v>
      </c>
      <c r="I34" s="22"/>
      <c r="J34" s="22"/>
      <c r="K34" s="19" t="s">
        <v>384</v>
      </c>
      <c r="L34" s="23">
        <v>45750.0</v>
      </c>
    </row>
    <row r="35">
      <c r="A35" s="20">
        <v>45735.9234172338</v>
      </c>
      <c r="B35" s="19" t="s">
        <v>376</v>
      </c>
      <c r="C35" s="19" t="s">
        <v>377</v>
      </c>
      <c r="D35" s="19" t="s">
        <v>378</v>
      </c>
      <c r="E35" s="21">
        <v>28978.0</v>
      </c>
      <c r="F35" s="19" t="s">
        <v>379</v>
      </c>
      <c r="G35" s="19" t="s">
        <v>369</v>
      </c>
      <c r="H35" s="19" t="s">
        <v>24</v>
      </c>
      <c r="I35" s="22"/>
      <c r="J35" s="22"/>
      <c r="K35" s="19" t="s">
        <v>107</v>
      </c>
      <c r="L35" s="23">
        <v>45750.0</v>
      </c>
    </row>
    <row r="36">
      <c r="A36" s="20">
        <v>45737.48208252314</v>
      </c>
      <c r="B36" s="19" t="s">
        <v>256</v>
      </c>
      <c r="C36" s="19" t="s">
        <v>262</v>
      </c>
      <c r="D36" s="19" t="s">
        <v>263</v>
      </c>
      <c r="E36" s="21">
        <v>26983.0</v>
      </c>
      <c r="F36" s="19" t="s">
        <v>264</v>
      </c>
      <c r="G36" s="19" t="s">
        <v>260</v>
      </c>
      <c r="H36" s="19" t="s">
        <v>17</v>
      </c>
      <c r="I36" s="19" t="s">
        <v>265</v>
      </c>
      <c r="J36" s="22"/>
      <c r="K36" s="22"/>
      <c r="L36" s="23">
        <v>45750.0</v>
      </c>
    </row>
    <row r="37">
      <c r="A37" s="20">
        <v>45737.483914861106</v>
      </c>
      <c r="B37" s="19" t="s">
        <v>256</v>
      </c>
      <c r="C37" s="19" t="s">
        <v>257</v>
      </c>
      <c r="D37" s="19" t="s">
        <v>258</v>
      </c>
      <c r="E37" s="21">
        <v>28418.0</v>
      </c>
      <c r="F37" s="19" t="s">
        <v>259</v>
      </c>
      <c r="G37" s="19" t="s">
        <v>260</v>
      </c>
      <c r="H37" s="19" t="s">
        <v>24</v>
      </c>
      <c r="I37" s="22"/>
      <c r="J37" s="22"/>
      <c r="K37" s="19" t="s">
        <v>261</v>
      </c>
      <c r="L37" s="23">
        <v>45750.0</v>
      </c>
    </row>
    <row r="38">
      <c r="A38" s="20">
        <v>45737.487844386575</v>
      </c>
      <c r="B38" s="19" t="s">
        <v>256</v>
      </c>
      <c r="C38" s="19" t="s">
        <v>266</v>
      </c>
      <c r="D38" s="19" t="s">
        <v>267</v>
      </c>
      <c r="E38" s="21">
        <v>31446.0</v>
      </c>
      <c r="F38" s="19" t="s">
        <v>268</v>
      </c>
      <c r="G38" s="19" t="s">
        <v>260</v>
      </c>
      <c r="H38" s="19" t="s">
        <v>24</v>
      </c>
      <c r="I38" s="22"/>
      <c r="J38" s="22"/>
      <c r="K38" s="19" t="s">
        <v>261</v>
      </c>
      <c r="L38" s="23">
        <v>45750.0</v>
      </c>
    </row>
    <row r="39">
      <c r="A39" s="20">
        <v>45740.66688883102</v>
      </c>
      <c r="B39" s="19" t="s">
        <v>390</v>
      </c>
      <c r="C39" s="19" t="s">
        <v>391</v>
      </c>
      <c r="D39" s="19" t="s">
        <v>392</v>
      </c>
      <c r="E39" s="21">
        <v>34298.0</v>
      </c>
      <c r="F39" s="19" t="s">
        <v>393</v>
      </c>
      <c r="G39" s="19" t="s">
        <v>394</v>
      </c>
      <c r="H39" s="19" t="s">
        <v>17</v>
      </c>
      <c r="I39" s="19" t="s">
        <v>395</v>
      </c>
      <c r="J39" s="22"/>
      <c r="K39" s="22"/>
      <c r="L39" s="23">
        <v>45750.0</v>
      </c>
    </row>
    <row r="40">
      <c r="A40" s="20">
        <v>45740.699636770834</v>
      </c>
      <c r="B40" s="19" t="s">
        <v>320</v>
      </c>
      <c r="C40" s="19" t="s">
        <v>321</v>
      </c>
      <c r="D40" s="19" t="s">
        <v>322</v>
      </c>
      <c r="E40" s="21">
        <v>32447.0</v>
      </c>
      <c r="F40" s="19" t="s">
        <v>323</v>
      </c>
      <c r="G40" s="19" t="s">
        <v>302</v>
      </c>
      <c r="H40" s="19" t="s">
        <v>24</v>
      </c>
      <c r="I40" s="22"/>
      <c r="J40" s="22"/>
      <c r="K40" s="19" t="s">
        <v>324</v>
      </c>
      <c r="L40" s="23">
        <v>45750.0</v>
      </c>
    </row>
    <row r="41">
      <c r="A41" s="20">
        <v>45740.75158334491</v>
      </c>
      <c r="B41" s="19" t="s">
        <v>280</v>
      </c>
      <c r="C41" s="19" t="s">
        <v>286</v>
      </c>
      <c r="D41" s="19" t="s">
        <v>287</v>
      </c>
      <c r="E41" s="21">
        <v>36569.0</v>
      </c>
      <c r="F41" s="19" t="s">
        <v>288</v>
      </c>
      <c r="G41" s="19" t="s">
        <v>284</v>
      </c>
      <c r="H41" s="19" t="s">
        <v>17</v>
      </c>
      <c r="I41" s="19" t="s">
        <v>289</v>
      </c>
      <c r="J41" s="22"/>
      <c r="K41" s="22"/>
      <c r="L41" s="23">
        <v>45750.0</v>
      </c>
    </row>
    <row r="42">
      <c r="A42" s="20">
        <v>45740.752462476856</v>
      </c>
      <c r="B42" s="19" t="s">
        <v>371</v>
      </c>
      <c r="C42" s="19" t="s">
        <v>372</v>
      </c>
      <c r="D42" s="19" t="s">
        <v>373</v>
      </c>
      <c r="E42" s="21">
        <v>28940.0</v>
      </c>
      <c r="F42" s="19" t="s">
        <v>374</v>
      </c>
      <c r="G42" s="19" t="s">
        <v>369</v>
      </c>
      <c r="H42" s="19" t="s">
        <v>24</v>
      </c>
      <c r="I42" s="22"/>
      <c r="J42" s="22"/>
      <c r="K42" s="19" t="s">
        <v>375</v>
      </c>
      <c r="L42" s="23">
        <v>45750.0</v>
      </c>
    </row>
    <row r="43">
      <c r="A43" s="20">
        <v>45740.81895861111</v>
      </c>
      <c r="B43" s="19" t="s">
        <v>396</v>
      </c>
      <c r="C43" s="19" t="s">
        <v>397</v>
      </c>
      <c r="D43" s="19" t="s">
        <v>398</v>
      </c>
      <c r="E43" s="21">
        <v>29058.0</v>
      </c>
      <c r="F43" s="19" t="s">
        <v>399</v>
      </c>
      <c r="G43" s="19" t="s">
        <v>394</v>
      </c>
      <c r="H43" s="19" t="s">
        <v>24</v>
      </c>
      <c r="I43" s="22"/>
      <c r="J43" s="22"/>
      <c r="K43" s="19" t="s">
        <v>400</v>
      </c>
      <c r="L43" s="23">
        <v>45750.0</v>
      </c>
    </row>
    <row r="44">
      <c r="A44" s="20">
        <v>45741.34613376157</v>
      </c>
      <c r="B44" s="19" t="s">
        <v>280</v>
      </c>
      <c r="C44" s="19" t="s">
        <v>281</v>
      </c>
      <c r="D44" s="19" t="s">
        <v>282</v>
      </c>
      <c r="E44" s="21">
        <v>27552.0</v>
      </c>
      <c r="F44" s="19" t="s">
        <v>283</v>
      </c>
      <c r="G44" s="19" t="s">
        <v>284</v>
      </c>
      <c r="H44" s="19" t="s">
        <v>24</v>
      </c>
      <c r="I44" s="22"/>
      <c r="J44" s="22"/>
      <c r="K44" s="19" t="s">
        <v>285</v>
      </c>
      <c r="L44" s="23">
        <v>45750.0</v>
      </c>
    </row>
    <row r="45">
      <c r="A45" s="20">
        <v>45741.40056486111</v>
      </c>
      <c r="B45" s="19" t="s">
        <v>298</v>
      </c>
      <c r="C45" s="19" t="s">
        <v>299</v>
      </c>
      <c r="D45" s="19" t="s">
        <v>300</v>
      </c>
      <c r="E45" s="21">
        <v>24181.0</v>
      </c>
      <c r="F45" s="19" t="s">
        <v>301</v>
      </c>
      <c r="G45" s="19" t="s">
        <v>302</v>
      </c>
      <c r="H45" s="19" t="s">
        <v>24</v>
      </c>
      <c r="I45" s="22"/>
      <c r="J45" s="22"/>
      <c r="K45" s="19" t="s">
        <v>303</v>
      </c>
      <c r="L45" s="23">
        <v>45750.0</v>
      </c>
    </row>
    <row r="46">
      <c r="A46" s="20">
        <v>45741.448130625</v>
      </c>
      <c r="B46" s="19" t="s">
        <v>280</v>
      </c>
      <c r="C46" s="19" t="s">
        <v>290</v>
      </c>
      <c r="D46" s="19" t="s">
        <v>291</v>
      </c>
      <c r="E46" s="21">
        <v>23435.0</v>
      </c>
      <c r="F46" s="19" t="s">
        <v>292</v>
      </c>
      <c r="G46" s="19" t="s">
        <v>284</v>
      </c>
      <c r="H46" s="19" t="s">
        <v>24</v>
      </c>
      <c r="I46" s="22"/>
      <c r="J46" s="22"/>
      <c r="K46" s="19" t="s">
        <v>289</v>
      </c>
      <c r="L46" s="23">
        <v>45750.0</v>
      </c>
    </row>
    <row r="47">
      <c r="A47" s="20">
        <v>45741.4985540162</v>
      </c>
      <c r="B47" s="19" t="s">
        <v>427</v>
      </c>
      <c r="C47" s="19" t="s">
        <v>428</v>
      </c>
      <c r="D47" s="19" t="s">
        <v>429</v>
      </c>
      <c r="E47" s="21">
        <v>28089.0</v>
      </c>
      <c r="F47" s="19" t="s">
        <v>430</v>
      </c>
      <c r="G47" s="19" t="s">
        <v>421</v>
      </c>
      <c r="H47" s="19" t="s">
        <v>17</v>
      </c>
      <c r="I47" s="19" t="s">
        <v>431</v>
      </c>
      <c r="J47" s="22"/>
      <c r="K47" s="22"/>
      <c r="L47" s="23">
        <v>45750.0</v>
      </c>
    </row>
    <row r="48">
      <c r="A48" s="20">
        <v>45741.503249421294</v>
      </c>
      <c r="B48" s="19" t="s">
        <v>417</v>
      </c>
      <c r="C48" s="19" t="s">
        <v>418</v>
      </c>
      <c r="D48" s="19" t="s">
        <v>419</v>
      </c>
      <c r="E48" s="21">
        <v>37837.0</v>
      </c>
      <c r="F48" s="19" t="s">
        <v>420</v>
      </c>
      <c r="G48" s="19" t="s">
        <v>421</v>
      </c>
      <c r="H48" s="19" t="s">
        <v>17</v>
      </c>
      <c r="I48" s="19" t="s">
        <v>422</v>
      </c>
      <c r="J48" s="22"/>
      <c r="K48" s="22"/>
      <c r="L48" s="23">
        <v>45750.0</v>
      </c>
    </row>
    <row r="49">
      <c r="A49" s="20">
        <v>45741.53049549769</v>
      </c>
      <c r="B49" s="19" t="s">
        <v>310</v>
      </c>
      <c r="C49" s="19" t="s">
        <v>501</v>
      </c>
      <c r="D49" s="19" t="s">
        <v>300</v>
      </c>
      <c r="E49" s="21">
        <v>24181.0</v>
      </c>
      <c r="F49" s="19" t="s">
        <v>301</v>
      </c>
      <c r="G49" s="19" t="s">
        <v>302</v>
      </c>
      <c r="H49" s="19" t="s">
        <v>24</v>
      </c>
      <c r="I49" s="22"/>
      <c r="J49" s="22"/>
      <c r="K49" s="19" t="s">
        <v>313</v>
      </c>
      <c r="L49" s="23">
        <v>45750.0</v>
      </c>
    </row>
    <row r="50">
      <c r="A50" s="20">
        <v>45742.437961539355</v>
      </c>
      <c r="B50" s="19" t="s">
        <v>275</v>
      </c>
      <c r="C50" s="19" t="s">
        <v>276</v>
      </c>
      <c r="D50" s="19" t="s">
        <v>277</v>
      </c>
      <c r="E50" s="21">
        <v>29858.0</v>
      </c>
      <c r="F50" s="19" t="s">
        <v>278</v>
      </c>
      <c r="G50" s="19" t="s">
        <v>273</v>
      </c>
      <c r="H50" s="19" t="s">
        <v>17</v>
      </c>
      <c r="I50" s="19" t="s">
        <v>279</v>
      </c>
      <c r="J50" s="22"/>
      <c r="K50" s="22"/>
      <c r="L50" s="23">
        <v>45750.0</v>
      </c>
    </row>
    <row r="51">
      <c r="A51" s="20">
        <v>45742.44973807871</v>
      </c>
      <c r="B51" s="19" t="s">
        <v>269</v>
      </c>
      <c r="C51" s="19" t="s">
        <v>270</v>
      </c>
      <c r="D51" s="19" t="s">
        <v>271</v>
      </c>
      <c r="E51" s="21">
        <v>33394.0</v>
      </c>
      <c r="F51" s="19" t="s">
        <v>272</v>
      </c>
      <c r="G51" s="19" t="s">
        <v>273</v>
      </c>
      <c r="H51" s="19" t="s">
        <v>17</v>
      </c>
      <c r="I51" s="19" t="s">
        <v>274</v>
      </c>
      <c r="J51" s="22"/>
      <c r="K51" s="22"/>
      <c r="L51" s="23">
        <v>45750.0</v>
      </c>
    </row>
    <row r="52">
      <c r="A52" s="20">
        <v>45742.90465269676</v>
      </c>
      <c r="B52" s="19" t="s">
        <v>453</v>
      </c>
      <c r="C52" s="19" t="s">
        <v>454</v>
      </c>
      <c r="D52" s="19" t="s">
        <v>455</v>
      </c>
      <c r="E52" s="21">
        <v>33417.0</v>
      </c>
      <c r="F52" s="19" t="s">
        <v>456</v>
      </c>
      <c r="G52" s="19" t="s">
        <v>441</v>
      </c>
      <c r="H52" s="19" t="s">
        <v>24</v>
      </c>
      <c r="I52" s="22"/>
      <c r="J52" s="22"/>
      <c r="K52" s="19" t="s">
        <v>344</v>
      </c>
      <c r="L52" s="23">
        <v>45750.0</v>
      </c>
    </row>
    <row r="53">
      <c r="A53" s="20">
        <v>45743.40866224537</v>
      </c>
      <c r="B53" s="19" t="s">
        <v>486</v>
      </c>
      <c r="C53" s="19" t="s">
        <v>487</v>
      </c>
      <c r="D53" s="19" t="s">
        <v>488</v>
      </c>
      <c r="E53" s="21">
        <v>29246.0</v>
      </c>
      <c r="F53" s="19" t="s">
        <v>489</v>
      </c>
      <c r="G53" s="19" t="s">
        <v>477</v>
      </c>
      <c r="H53" s="19" t="s">
        <v>17</v>
      </c>
      <c r="I53" s="19" t="s">
        <v>490</v>
      </c>
      <c r="J53" s="22"/>
      <c r="K53" s="22"/>
      <c r="L53" s="23">
        <v>45750.0</v>
      </c>
    </row>
    <row r="54">
      <c r="A54" s="20">
        <v>45743.476181342594</v>
      </c>
      <c r="B54" s="19" t="s">
        <v>443</v>
      </c>
      <c r="C54" s="19" t="s">
        <v>444</v>
      </c>
      <c r="D54" s="19" t="s">
        <v>445</v>
      </c>
      <c r="E54" s="21">
        <v>31173.0</v>
      </c>
      <c r="F54" s="19" t="s">
        <v>446</v>
      </c>
      <c r="G54" s="19" t="s">
        <v>441</v>
      </c>
      <c r="H54" s="19" t="s">
        <v>24</v>
      </c>
      <c r="I54" s="22"/>
      <c r="J54" s="22"/>
      <c r="K54" s="19" t="s">
        <v>447</v>
      </c>
      <c r="L54" s="23">
        <v>45750.0</v>
      </c>
    </row>
    <row r="55">
      <c r="A55" s="20">
        <v>45744.33798207176</v>
      </c>
      <c r="B55" s="19" t="s">
        <v>251</v>
      </c>
      <c r="C55" s="19" t="s">
        <v>252</v>
      </c>
      <c r="D55" s="19" t="s">
        <v>253</v>
      </c>
      <c r="E55" s="21">
        <v>30671.0</v>
      </c>
      <c r="F55" s="19" t="s">
        <v>254</v>
      </c>
      <c r="G55" s="19" t="s">
        <v>249</v>
      </c>
      <c r="H55" s="19" t="s">
        <v>17</v>
      </c>
      <c r="I55" s="19" t="s">
        <v>255</v>
      </c>
      <c r="J55" s="22"/>
      <c r="K55" s="22"/>
      <c r="L55" s="23">
        <v>45750.0</v>
      </c>
    </row>
    <row r="56">
      <c r="A56" s="20">
        <v>45744.34136377314</v>
      </c>
      <c r="B56" s="19" t="s">
        <v>245</v>
      </c>
      <c r="C56" s="19" t="s">
        <v>246</v>
      </c>
      <c r="D56" s="19" t="s">
        <v>247</v>
      </c>
      <c r="E56" s="21">
        <v>25546.0</v>
      </c>
      <c r="F56" s="19" t="s">
        <v>248</v>
      </c>
      <c r="G56" s="19" t="s">
        <v>249</v>
      </c>
      <c r="H56" s="19" t="s">
        <v>17</v>
      </c>
      <c r="I56" s="19" t="s">
        <v>250</v>
      </c>
      <c r="J56" s="22"/>
      <c r="K56" s="22"/>
      <c r="L56" s="23">
        <v>45750.0</v>
      </c>
    </row>
    <row r="57">
      <c r="A57" s="24">
        <v>45744.56624190972</v>
      </c>
      <c r="B57" s="25" t="s">
        <v>385</v>
      </c>
      <c r="C57" s="25" t="s">
        <v>386</v>
      </c>
      <c r="D57" s="25" t="s">
        <v>387</v>
      </c>
      <c r="E57" s="26">
        <v>28186.0</v>
      </c>
      <c r="F57" s="25" t="s">
        <v>388</v>
      </c>
      <c r="G57" s="25" t="s">
        <v>369</v>
      </c>
      <c r="H57" s="25" t="s">
        <v>17</v>
      </c>
      <c r="I57" s="25" t="s">
        <v>389</v>
      </c>
      <c r="J57" s="27"/>
      <c r="K57" s="27"/>
      <c r="L57" s="28">
        <f>VLOOKUP(G57,Datas!$A$1:$B$37,2,FALSE)</f>
        <v>45750</v>
      </c>
    </row>
    <row r="58">
      <c r="A58" s="24">
        <v>45747.40243403935</v>
      </c>
      <c r="B58" s="25" t="s">
        <v>448</v>
      </c>
      <c r="C58" s="25" t="s">
        <v>449</v>
      </c>
      <c r="D58" s="25" t="s">
        <v>450</v>
      </c>
      <c r="E58" s="26">
        <v>32278.0</v>
      </c>
      <c r="F58" s="25" t="s">
        <v>451</v>
      </c>
      <c r="G58" s="25" t="s">
        <v>441</v>
      </c>
      <c r="H58" s="25" t="s">
        <v>17</v>
      </c>
      <c r="I58" s="25" t="s">
        <v>452</v>
      </c>
      <c r="J58" s="27"/>
      <c r="K58" s="27"/>
      <c r="L58" s="28">
        <f>VLOOKUP(G58,Datas!$A$1:$B$37,2,FALSE)</f>
        <v>45750</v>
      </c>
    </row>
    <row r="59">
      <c r="A59" s="24">
        <v>45744.63235804398</v>
      </c>
      <c r="B59" s="25" t="s">
        <v>202</v>
      </c>
      <c r="C59" s="25" t="s">
        <v>203</v>
      </c>
      <c r="D59" s="25" t="s">
        <v>204</v>
      </c>
      <c r="E59" s="26">
        <v>26345.0</v>
      </c>
      <c r="F59" s="25" t="s">
        <v>205</v>
      </c>
      <c r="G59" s="25" t="s">
        <v>206</v>
      </c>
      <c r="H59" s="25" t="s">
        <v>24</v>
      </c>
      <c r="I59" s="27"/>
      <c r="J59" s="27"/>
      <c r="K59" s="25" t="s">
        <v>207</v>
      </c>
      <c r="L59" s="28">
        <f>VLOOKUP(G59,Datas!$A$1:$B$37,2,FALSE)</f>
        <v>45749</v>
      </c>
    </row>
    <row r="60">
      <c r="A60" s="24">
        <v>45746.59002278935</v>
      </c>
      <c r="B60" s="25" t="s">
        <v>185</v>
      </c>
      <c r="C60" s="25" t="s">
        <v>186</v>
      </c>
      <c r="D60" s="25" t="s">
        <v>187</v>
      </c>
      <c r="E60" s="26">
        <v>24117.0</v>
      </c>
      <c r="F60" s="25" t="s">
        <v>188</v>
      </c>
      <c r="G60" s="25" t="s">
        <v>183</v>
      </c>
      <c r="H60" s="25" t="s">
        <v>17</v>
      </c>
      <c r="I60" s="25" t="s">
        <v>189</v>
      </c>
      <c r="J60" s="27"/>
      <c r="K60" s="27"/>
      <c r="L60" s="28">
        <f>VLOOKUP(G60,Datas!$A$1:$B$37,2,FALSE)</f>
        <v>45749</v>
      </c>
    </row>
    <row r="61">
      <c r="A61" s="24">
        <v>45747.35854725694</v>
      </c>
      <c r="B61" s="25" t="s">
        <v>152</v>
      </c>
      <c r="C61" s="25" t="s">
        <v>153</v>
      </c>
      <c r="D61" s="25" t="s">
        <v>154</v>
      </c>
      <c r="E61" s="26">
        <v>27738.0</v>
      </c>
      <c r="F61" s="25" t="s">
        <v>155</v>
      </c>
      <c r="G61" s="25" t="s">
        <v>156</v>
      </c>
      <c r="H61" s="25" t="s">
        <v>17</v>
      </c>
      <c r="I61" s="25" t="s">
        <v>157</v>
      </c>
      <c r="J61" s="27"/>
      <c r="K61" s="27"/>
      <c r="L61" s="28">
        <f>VLOOKUP(G61,Datas!$A$1:$B$37,2,FALSE)</f>
        <v>45749</v>
      </c>
    </row>
    <row r="62">
      <c r="A62" s="24">
        <v>45747.40829564814</v>
      </c>
      <c r="B62" s="25" t="s">
        <v>42</v>
      </c>
      <c r="C62" s="25" t="s">
        <v>43</v>
      </c>
      <c r="D62" s="25" t="s">
        <v>44</v>
      </c>
      <c r="E62" s="26">
        <v>29614.0</v>
      </c>
      <c r="F62" s="25" t="s">
        <v>45</v>
      </c>
      <c r="G62" s="25" t="s">
        <v>16</v>
      </c>
      <c r="H62" s="25" t="s">
        <v>24</v>
      </c>
      <c r="I62" s="27"/>
      <c r="J62" s="27"/>
      <c r="K62" s="25" t="s">
        <v>46</v>
      </c>
      <c r="L62" s="28">
        <f>VLOOKUP(G62,Datas!$A$1:$B$37,2,FALSE)</f>
        <v>45749</v>
      </c>
    </row>
    <row r="63">
      <c r="A63" s="24">
        <v>45747.41379015046</v>
      </c>
      <c r="B63" s="25" t="s">
        <v>146</v>
      </c>
      <c r="C63" s="25" t="s">
        <v>147</v>
      </c>
      <c r="D63" s="25" t="s">
        <v>148</v>
      </c>
      <c r="E63" s="26">
        <v>30821.0</v>
      </c>
      <c r="F63" s="25" t="s">
        <v>149</v>
      </c>
      <c r="G63" s="25" t="s">
        <v>150</v>
      </c>
      <c r="H63" s="25" t="s">
        <v>17</v>
      </c>
      <c r="I63" s="25" t="s">
        <v>151</v>
      </c>
      <c r="J63" s="27"/>
      <c r="K63" s="27"/>
      <c r="L63" s="28">
        <f>VLOOKUP(G63,Datas!$A$1:$B$37,2,FALSE)</f>
        <v>45749</v>
      </c>
    </row>
    <row r="64">
      <c r="A64" s="20">
        <v>45747.42616796296</v>
      </c>
      <c r="B64" s="19" t="s">
        <v>473</v>
      </c>
      <c r="C64" s="19" t="s">
        <v>474</v>
      </c>
      <c r="D64" s="19" t="s">
        <v>475</v>
      </c>
      <c r="E64" s="21">
        <v>34041.0</v>
      </c>
      <c r="F64" s="19" t="s">
        <v>476</v>
      </c>
      <c r="G64" s="19" t="s">
        <v>477</v>
      </c>
      <c r="H64" s="19" t="s">
        <v>17</v>
      </c>
      <c r="I64" s="19" t="s">
        <v>478</v>
      </c>
      <c r="J64" s="22"/>
      <c r="K64" s="22"/>
      <c r="L64" s="28">
        <f>VLOOKUP(G64,Datas!$A$1:$B$37,2,FALSE)</f>
        <v>45750</v>
      </c>
    </row>
    <row r="65">
      <c r="A65" s="20">
        <v>45747.427453854165</v>
      </c>
      <c r="B65" s="19" t="s">
        <v>473</v>
      </c>
      <c r="C65" s="19" t="s">
        <v>483</v>
      </c>
      <c r="D65" s="19" t="s">
        <v>484</v>
      </c>
      <c r="E65" s="21">
        <v>29106.0</v>
      </c>
      <c r="F65" s="19" t="s">
        <v>485</v>
      </c>
      <c r="G65" s="19" t="s">
        <v>477</v>
      </c>
      <c r="H65" s="19" t="s">
        <v>17</v>
      </c>
      <c r="I65" s="19" t="s">
        <v>478</v>
      </c>
      <c r="J65" s="22"/>
      <c r="K65" s="22"/>
      <c r="L65" s="28">
        <f>VLOOKUP(G65,Datas!$A$1:$B$37,2,FALSE)</f>
        <v>45750</v>
      </c>
    </row>
    <row r="66">
      <c r="A66" s="20">
        <v>45747.428370486115</v>
      </c>
      <c r="B66" s="19" t="s">
        <v>473</v>
      </c>
      <c r="C66" s="19" t="s">
        <v>479</v>
      </c>
      <c r="D66" s="19" t="s">
        <v>480</v>
      </c>
      <c r="E66" s="21">
        <v>31718.0</v>
      </c>
      <c r="F66" s="19" t="s">
        <v>481</v>
      </c>
      <c r="G66" s="19" t="s">
        <v>477</v>
      </c>
      <c r="H66" s="19" t="s">
        <v>17</v>
      </c>
      <c r="I66" s="19" t="s">
        <v>482</v>
      </c>
      <c r="J66" s="22"/>
      <c r="K66" s="22"/>
      <c r="L66" s="28">
        <f>VLOOKUP(G66,Datas!$A$1:$B$37,2,FALSE)</f>
        <v>45750</v>
      </c>
    </row>
    <row r="67">
      <c r="A67" s="20">
        <v>45747.474257615744</v>
      </c>
      <c r="B67" s="19" t="s">
        <v>333</v>
      </c>
      <c r="C67" s="19" t="s">
        <v>334</v>
      </c>
      <c r="D67" s="19" t="s">
        <v>335</v>
      </c>
      <c r="E67" s="21">
        <v>30195.0</v>
      </c>
      <c r="F67" s="19" t="s">
        <v>336</v>
      </c>
      <c r="G67" s="19" t="s">
        <v>337</v>
      </c>
      <c r="H67" s="19" t="s">
        <v>17</v>
      </c>
      <c r="I67" s="19" t="s">
        <v>338</v>
      </c>
      <c r="J67" s="19" t="s">
        <v>339</v>
      </c>
      <c r="K67" s="22"/>
      <c r="L67" s="28">
        <f>VLOOKUP(G67,Datas!$A$1:$B$37,2,FALSE)</f>
        <v>45750</v>
      </c>
    </row>
    <row r="68">
      <c r="A68" s="20">
        <v>45747.482493449075</v>
      </c>
      <c r="B68" s="19" t="s">
        <v>350</v>
      </c>
      <c r="C68" s="19" t="s">
        <v>351</v>
      </c>
      <c r="D68" s="19" t="s">
        <v>352</v>
      </c>
      <c r="E68" s="21">
        <v>25555.0</v>
      </c>
      <c r="F68" s="19" t="s">
        <v>353</v>
      </c>
      <c r="G68" s="19" t="s">
        <v>337</v>
      </c>
      <c r="H68" s="19" t="s">
        <v>17</v>
      </c>
      <c r="I68" s="19" t="s">
        <v>354</v>
      </c>
      <c r="J68" s="22"/>
      <c r="K68" s="22"/>
      <c r="L68" s="28">
        <f>VLOOKUP(G68,Datas!$A$1:$B$37,2,FALSE)</f>
        <v>45750</v>
      </c>
    </row>
    <row r="69">
      <c r="A69" s="20">
        <v>45747.7063522338</v>
      </c>
      <c r="B69" s="19" t="s">
        <v>340</v>
      </c>
      <c r="C69" s="19" t="s">
        <v>341</v>
      </c>
      <c r="D69" s="19" t="s">
        <v>342</v>
      </c>
      <c r="E69" s="21">
        <v>28425.0</v>
      </c>
      <c r="F69" s="19" t="s">
        <v>343</v>
      </c>
      <c r="G69" s="19" t="s">
        <v>337</v>
      </c>
      <c r="H69" s="19" t="s">
        <v>24</v>
      </c>
      <c r="I69" s="22"/>
      <c r="J69" s="22"/>
      <c r="K69" s="19" t="s">
        <v>344</v>
      </c>
      <c r="L69" s="28">
        <f>VLOOKUP(G69,Datas!$A$1:$B$37,2,FALSE)</f>
        <v>45750</v>
      </c>
    </row>
    <row r="70">
      <c r="A70" s="20">
        <v>45747.715695046296</v>
      </c>
      <c r="B70" s="19" t="s">
        <v>355</v>
      </c>
      <c r="C70" s="19" t="s">
        <v>356</v>
      </c>
      <c r="D70" s="19" t="s">
        <v>357</v>
      </c>
      <c r="E70" s="21">
        <v>26200.0</v>
      </c>
      <c r="F70" s="19" t="s">
        <v>358</v>
      </c>
      <c r="G70" s="19" t="s">
        <v>337</v>
      </c>
      <c r="H70" s="19" t="s">
        <v>24</v>
      </c>
      <c r="I70" s="22"/>
      <c r="J70" s="22"/>
      <c r="K70" s="19" t="s">
        <v>178</v>
      </c>
      <c r="L70" s="28">
        <f>VLOOKUP(G70,Datas!$A$1:$B$37,2,FALSE)</f>
        <v>45750</v>
      </c>
    </row>
    <row r="71">
      <c r="A71" s="29">
        <v>45747.7063522338</v>
      </c>
      <c r="B71" s="30" t="s">
        <v>340</v>
      </c>
      <c r="C71" s="30" t="s">
        <v>341</v>
      </c>
      <c r="D71" s="30" t="s">
        <v>342</v>
      </c>
      <c r="E71" s="31">
        <v>28425.0</v>
      </c>
      <c r="F71" s="30" t="s">
        <v>343</v>
      </c>
      <c r="G71" s="30" t="s">
        <v>337</v>
      </c>
      <c r="H71" s="30" t="s">
        <v>24</v>
      </c>
      <c r="I71" s="32"/>
      <c r="J71" s="32"/>
      <c r="K71" s="30" t="s">
        <v>344</v>
      </c>
      <c r="L71" s="28">
        <f>VLOOKUP(G71,Datas!$A$1:$B$37,2,FALSE)</f>
        <v>45750</v>
      </c>
    </row>
    <row r="72">
      <c r="A72" s="29">
        <v>45747.715695046296</v>
      </c>
      <c r="B72" s="30" t="s">
        <v>355</v>
      </c>
      <c r="C72" s="30" t="s">
        <v>356</v>
      </c>
      <c r="D72" s="30" t="s">
        <v>357</v>
      </c>
      <c r="E72" s="31">
        <v>26200.0</v>
      </c>
      <c r="F72" s="30" t="s">
        <v>358</v>
      </c>
      <c r="G72" s="30" t="s">
        <v>337</v>
      </c>
      <c r="H72" s="30" t="s">
        <v>24</v>
      </c>
      <c r="I72" s="32"/>
      <c r="J72" s="32"/>
      <c r="K72" s="30" t="s">
        <v>178</v>
      </c>
      <c r="L72" s="28">
        <f>VLOOKUP(G72,Datas!$A$1:$B$37,2,FALSE)</f>
        <v>45750</v>
      </c>
    </row>
    <row r="73">
      <c r="A73" s="20">
        <v>45747.52331238426</v>
      </c>
      <c r="B73" s="19" t="s">
        <v>135</v>
      </c>
      <c r="C73" s="19" t="s">
        <v>136</v>
      </c>
      <c r="D73" s="19" t="s">
        <v>137</v>
      </c>
      <c r="E73" s="21">
        <v>32514.0</v>
      </c>
      <c r="F73" s="19" t="s">
        <v>138</v>
      </c>
      <c r="G73" s="19" t="s">
        <v>139</v>
      </c>
      <c r="H73" s="19" t="s">
        <v>24</v>
      </c>
      <c r="I73" s="22"/>
      <c r="J73" s="22"/>
      <c r="K73" s="19" t="s">
        <v>140</v>
      </c>
      <c r="L73" s="28">
        <f>VLOOKUP(G73,Datas!$A$1:$B$37,2,FALSE)</f>
        <v>45749</v>
      </c>
    </row>
    <row r="74">
      <c r="A74" s="20">
        <v>45747.526049305554</v>
      </c>
      <c r="B74" s="19" t="s">
        <v>141</v>
      </c>
      <c r="C74" s="19" t="s">
        <v>142</v>
      </c>
      <c r="D74" s="19" t="s">
        <v>143</v>
      </c>
      <c r="E74" s="21">
        <v>24341.0</v>
      </c>
      <c r="F74" s="19" t="s">
        <v>144</v>
      </c>
      <c r="G74" s="19" t="s">
        <v>139</v>
      </c>
      <c r="H74" s="19" t="s">
        <v>17</v>
      </c>
      <c r="I74" s="19" t="s">
        <v>145</v>
      </c>
      <c r="J74" s="22"/>
      <c r="K74" s="22"/>
      <c r="L74" s="28">
        <f>VLOOKUP(G74,Datas!$A$1:$B$37,2,FALSE)</f>
        <v>45749</v>
      </c>
    </row>
    <row r="75">
      <c r="A75" s="20">
        <v>45747.68789523148</v>
      </c>
      <c r="B75" s="19" t="s">
        <v>37</v>
      </c>
      <c r="C75" s="19" t="s">
        <v>38</v>
      </c>
      <c r="D75" s="19" t="s">
        <v>39</v>
      </c>
      <c r="E75" s="21">
        <v>24597.0</v>
      </c>
      <c r="F75" s="19" t="s">
        <v>40</v>
      </c>
      <c r="G75" s="19" t="s">
        <v>16</v>
      </c>
      <c r="H75" s="19" t="s">
        <v>17</v>
      </c>
      <c r="I75" s="19" t="s">
        <v>41</v>
      </c>
      <c r="J75" s="22"/>
      <c r="K75" s="22"/>
      <c r="L75" s="28">
        <f>VLOOKUP(G75,Datas!$A$1:$B$37,2,FALSE)</f>
        <v>45749</v>
      </c>
    </row>
    <row r="76">
      <c r="A76" s="20">
        <v>45747.74303633102</v>
      </c>
      <c r="B76" s="19" t="s">
        <v>69</v>
      </c>
      <c r="C76" s="19" t="s">
        <v>70</v>
      </c>
      <c r="D76" s="19" t="s">
        <v>71</v>
      </c>
      <c r="E76" s="21">
        <v>52961.0</v>
      </c>
      <c r="F76" s="19" t="s">
        <v>72</v>
      </c>
      <c r="G76" s="19" t="s">
        <v>73</v>
      </c>
      <c r="H76" s="19" t="s">
        <v>17</v>
      </c>
      <c r="I76" s="19" t="s">
        <v>74</v>
      </c>
      <c r="J76" s="22"/>
      <c r="K76" s="22"/>
      <c r="L76" s="28">
        <f>VLOOKUP(G76,Datas!$A$1:$B$37,2,FALSE)</f>
        <v>45749</v>
      </c>
    </row>
    <row r="77">
      <c r="A77" s="33">
        <v>45748.317526956016</v>
      </c>
      <c r="B77" s="34" t="s">
        <v>123</v>
      </c>
      <c r="C77" s="34" t="s">
        <v>124</v>
      </c>
      <c r="D77" s="34" t="s">
        <v>125</v>
      </c>
      <c r="E77" s="35">
        <v>28648.0</v>
      </c>
      <c r="F77" s="34" t="s">
        <v>126</v>
      </c>
      <c r="G77" s="34" t="s">
        <v>127</v>
      </c>
      <c r="H77" s="34" t="s">
        <v>17</v>
      </c>
      <c r="I77" s="34" t="s">
        <v>128</v>
      </c>
      <c r="J77" s="34" t="s">
        <v>129</v>
      </c>
      <c r="K77" s="36"/>
      <c r="L77" s="28">
        <f>VLOOKUP(G77,Datas!$A$1:$B$37,2,FALSE)</f>
        <v>45750</v>
      </c>
    </row>
    <row r="78">
      <c r="A78" s="33">
        <v>45748.32543667824</v>
      </c>
      <c r="B78" s="34" t="s">
        <v>130</v>
      </c>
      <c r="C78" s="34" t="s">
        <v>131</v>
      </c>
      <c r="D78" s="34" t="s">
        <v>132</v>
      </c>
      <c r="E78" s="35">
        <v>22943.0</v>
      </c>
      <c r="F78" s="34" t="s">
        <v>133</v>
      </c>
      <c r="G78" s="34" t="s">
        <v>127</v>
      </c>
      <c r="H78" s="34" t="s">
        <v>17</v>
      </c>
      <c r="I78" s="34" t="s">
        <v>134</v>
      </c>
      <c r="J78" s="36"/>
      <c r="K78" s="36"/>
      <c r="L78" s="28">
        <f>VLOOKUP(G78,Datas!$A$1:$B$37,2,FALSE)</f>
        <v>45750</v>
      </c>
    </row>
    <row r="79">
      <c r="A79" s="33">
        <v>45748.43708857639</v>
      </c>
      <c r="B79" s="34" t="s">
        <v>196</v>
      </c>
      <c r="C79" s="34" t="s">
        <v>197</v>
      </c>
      <c r="D79" s="34" t="s">
        <v>198</v>
      </c>
      <c r="E79" s="35">
        <v>34377.0</v>
      </c>
      <c r="F79" s="34" t="s">
        <v>199</v>
      </c>
      <c r="G79" s="34" t="s">
        <v>200</v>
      </c>
      <c r="H79" s="34" t="s">
        <v>17</v>
      </c>
      <c r="I79" s="34" t="s">
        <v>201</v>
      </c>
      <c r="J79" s="36"/>
      <c r="K79" s="36"/>
      <c r="L79" s="28">
        <f>VLOOKUP(G79,Datas!$A$1:$B$37,2,FALSE)</f>
        <v>45749</v>
      </c>
    </row>
    <row r="80">
      <c r="A80" s="33">
        <v>45748.43759508102</v>
      </c>
      <c r="B80" s="34" t="s">
        <v>58</v>
      </c>
      <c r="C80" s="34" t="s">
        <v>59</v>
      </c>
      <c r="D80" s="34" t="s">
        <v>60</v>
      </c>
      <c r="E80" s="35">
        <v>30850.0</v>
      </c>
      <c r="F80" s="34" t="s">
        <v>61</v>
      </c>
      <c r="G80" s="34" t="s">
        <v>62</v>
      </c>
      <c r="H80" s="34" t="s">
        <v>17</v>
      </c>
      <c r="I80" s="34" t="s">
        <v>63</v>
      </c>
      <c r="J80" s="36"/>
      <c r="K80" s="36"/>
      <c r="L80" s="28">
        <f>VLOOKUP(G80,Datas!$A$1:$B$37,2,FALSE)</f>
        <v>45749</v>
      </c>
    </row>
    <row r="81">
      <c r="A81" s="33">
        <v>45748.43815271991</v>
      </c>
      <c r="B81" s="34" t="s">
        <v>437</v>
      </c>
      <c r="C81" s="34" t="s">
        <v>438</v>
      </c>
      <c r="D81" s="34" t="s">
        <v>439</v>
      </c>
      <c r="E81" s="35">
        <v>36520.0</v>
      </c>
      <c r="F81" s="34" t="s">
        <v>440</v>
      </c>
      <c r="G81" s="34" t="s">
        <v>441</v>
      </c>
      <c r="H81" s="34" t="s">
        <v>17</v>
      </c>
      <c r="I81" s="34" t="s">
        <v>442</v>
      </c>
      <c r="J81" s="36"/>
      <c r="K81" s="36"/>
      <c r="L81" s="28">
        <f>VLOOKUP(G81,Datas!$A$1:$B$37,2,FALSE)</f>
        <v>45750</v>
      </c>
    </row>
    <row r="82">
      <c r="A82" s="33">
        <v>45748.44729783565</v>
      </c>
      <c r="B82" s="34" t="s">
        <v>64</v>
      </c>
      <c r="C82" s="34" t="s">
        <v>65</v>
      </c>
      <c r="D82" s="34" t="s">
        <v>66</v>
      </c>
      <c r="E82" s="35">
        <v>37344.0</v>
      </c>
      <c r="F82" s="34" t="s">
        <v>67</v>
      </c>
      <c r="G82" s="34" t="s">
        <v>62</v>
      </c>
      <c r="H82" s="34" t="s">
        <v>17</v>
      </c>
      <c r="I82" s="34" t="s">
        <v>68</v>
      </c>
      <c r="J82" s="36"/>
      <c r="K82" s="36"/>
      <c r="L82" s="28">
        <f>VLOOKUP(G82,Datas!$A$1:$B$37,2,FALSE)</f>
        <v>45749</v>
      </c>
    </row>
    <row r="83">
      <c r="A83" s="33">
        <v>45748.4548796875</v>
      </c>
      <c r="B83" s="34" t="s">
        <v>75</v>
      </c>
      <c r="C83" s="34" t="s">
        <v>76</v>
      </c>
      <c r="D83" s="34" t="s">
        <v>77</v>
      </c>
      <c r="E83" s="35">
        <v>29554.0</v>
      </c>
      <c r="F83" s="34" t="s">
        <v>78</v>
      </c>
      <c r="G83" s="34" t="s">
        <v>73</v>
      </c>
      <c r="H83" s="34" t="s">
        <v>17</v>
      </c>
      <c r="I83" s="34" t="s">
        <v>79</v>
      </c>
      <c r="J83" s="36"/>
      <c r="K83" s="36"/>
      <c r="L83" s="28">
        <f>VLOOKUP(G83,Datas!$A$1:$B$37,2,FALSE)</f>
        <v>45749</v>
      </c>
    </row>
    <row r="84">
      <c r="A84" s="33">
        <v>45748.479056956014</v>
      </c>
      <c r="B84" s="34" t="s">
        <v>31</v>
      </c>
      <c r="C84" s="34" t="s">
        <v>32</v>
      </c>
      <c r="D84" s="34" t="s">
        <v>33</v>
      </c>
      <c r="E84" s="35">
        <v>31923.0</v>
      </c>
      <c r="F84" s="34" t="s">
        <v>34</v>
      </c>
      <c r="G84" s="34" t="s">
        <v>16</v>
      </c>
      <c r="H84" s="34" t="s">
        <v>17</v>
      </c>
      <c r="I84" s="34" t="s">
        <v>35</v>
      </c>
      <c r="J84" s="34" t="s">
        <v>36</v>
      </c>
      <c r="K84" s="36"/>
      <c r="L84" s="28">
        <f>VLOOKUP(G84,Datas!$A$1:$B$37,2,FALSE)</f>
        <v>45749</v>
      </c>
    </row>
    <row r="85">
      <c r="A85" s="33">
        <v>45748.49380917824</v>
      </c>
      <c r="B85" s="34" t="s">
        <v>179</v>
      </c>
      <c r="C85" s="34" t="s">
        <v>180</v>
      </c>
      <c r="D85" s="34" t="s">
        <v>181</v>
      </c>
      <c r="E85" s="35">
        <v>33116.0</v>
      </c>
      <c r="F85" s="34" t="s">
        <v>182</v>
      </c>
      <c r="G85" s="34" t="s">
        <v>183</v>
      </c>
      <c r="H85" s="34" t="s">
        <v>24</v>
      </c>
      <c r="I85" s="36"/>
      <c r="J85" s="36"/>
      <c r="K85" s="34" t="s">
        <v>184</v>
      </c>
      <c r="L85" s="28">
        <f>VLOOKUP(G85,Datas!$A$1:$B$37,2,FALSE)</f>
        <v>45749</v>
      </c>
    </row>
    <row r="86">
      <c r="A86" s="33">
        <v>45748.58617872685</v>
      </c>
      <c r="B86" s="34" t="s">
        <v>325</v>
      </c>
      <c r="C86" s="34" t="s">
        <v>326</v>
      </c>
      <c r="D86" s="34" t="s">
        <v>327</v>
      </c>
      <c r="E86" s="35">
        <v>30186.0</v>
      </c>
      <c r="F86" s="34" t="s">
        <v>328</v>
      </c>
      <c r="G86" s="34" t="s">
        <v>329</v>
      </c>
      <c r="H86" s="34" t="s">
        <v>17</v>
      </c>
      <c r="I86" s="34" t="s">
        <v>330</v>
      </c>
      <c r="J86" s="36"/>
      <c r="K86" s="36"/>
      <c r="L86" s="28">
        <f>VLOOKUP(G86,Datas!$A$1:$B$37,2,FALSE)</f>
        <v>45750</v>
      </c>
    </row>
    <row r="87">
      <c r="A87" s="33">
        <v>45748.62808204861</v>
      </c>
      <c r="B87" s="34" t="s">
        <v>331</v>
      </c>
      <c r="C87" s="34" t="s">
        <v>332</v>
      </c>
      <c r="D87" s="34" t="s">
        <v>327</v>
      </c>
      <c r="E87" s="35">
        <v>30186.0</v>
      </c>
      <c r="F87" s="34" t="s">
        <v>328</v>
      </c>
      <c r="G87" s="34" t="s">
        <v>329</v>
      </c>
      <c r="H87" s="34" t="s">
        <v>17</v>
      </c>
      <c r="I87" s="34" t="s">
        <v>330</v>
      </c>
      <c r="J87" s="36"/>
      <c r="K87" s="36"/>
      <c r="L87" s="28">
        <f>VLOOKUP(G87,Datas!$A$1:$B$37,2,FALSE)</f>
        <v>45750</v>
      </c>
    </row>
    <row r="88">
      <c r="A88" s="33">
        <v>45748.70920703704</v>
      </c>
      <c r="B88" s="34" t="s">
        <v>359</v>
      </c>
      <c r="C88" s="34" t="s">
        <v>360</v>
      </c>
      <c r="D88" s="34" t="s">
        <v>361</v>
      </c>
      <c r="E88" s="35">
        <v>31161.0</v>
      </c>
      <c r="F88" s="34" t="s">
        <v>362</v>
      </c>
      <c r="G88" s="34" t="s">
        <v>363</v>
      </c>
      <c r="H88" s="34" t="s">
        <v>17</v>
      </c>
      <c r="I88" s="34" t="s">
        <v>364</v>
      </c>
      <c r="J88" s="36"/>
      <c r="K88" s="36"/>
      <c r="L88" s="28">
        <f>VLOOKUP(G88,Datas!$A$1:$B$37,2,FALSE)</f>
        <v>45750</v>
      </c>
    </row>
    <row r="89">
      <c r="A89" s="33">
        <v>45748.79275356482</v>
      </c>
      <c r="B89" s="34" t="s">
        <v>423</v>
      </c>
      <c r="C89" s="34" t="s">
        <v>424</v>
      </c>
      <c r="D89" s="34" t="s">
        <v>425</v>
      </c>
      <c r="E89" s="35">
        <v>26889.0</v>
      </c>
      <c r="F89" s="34" t="s">
        <v>426</v>
      </c>
      <c r="G89" s="34" t="s">
        <v>421</v>
      </c>
      <c r="H89" s="34" t="s">
        <v>24</v>
      </c>
      <c r="I89" s="36"/>
      <c r="J89" s="36"/>
      <c r="K89" s="34" t="s">
        <v>313</v>
      </c>
      <c r="L89" s="28">
        <f>VLOOKUP(G89,Datas!$A$1:$B$37,2,FALSE)</f>
        <v>45750</v>
      </c>
    </row>
    <row r="90">
      <c r="A90" s="33">
        <v>45748.93774037037</v>
      </c>
      <c r="B90" s="34" t="s">
        <v>103</v>
      </c>
      <c r="C90" s="34" t="s">
        <v>104</v>
      </c>
      <c r="D90" s="34" t="s">
        <v>105</v>
      </c>
      <c r="E90" s="35">
        <v>32384.0</v>
      </c>
      <c r="F90" s="34" t="s">
        <v>106</v>
      </c>
      <c r="G90" s="34" t="s">
        <v>90</v>
      </c>
      <c r="H90" s="34" t="s">
        <v>24</v>
      </c>
      <c r="I90" s="36"/>
      <c r="J90" s="36"/>
      <c r="K90" s="34" t="s">
        <v>107</v>
      </c>
      <c r="L90" s="28">
        <f>VLOOKUP(G90,Datas!$A$1:$B$37,2,FALSE)</f>
        <v>45749</v>
      </c>
    </row>
    <row r="91">
      <c r="A91" s="33">
        <v>45748.947669710644</v>
      </c>
      <c r="B91" s="34" t="s">
        <v>491</v>
      </c>
      <c r="C91" s="34" t="s">
        <v>492</v>
      </c>
      <c r="D91" s="34" t="s">
        <v>493</v>
      </c>
      <c r="E91" s="35">
        <v>26778.0</v>
      </c>
      <c r="F91" s="34" t="s">
        <v>494</v>
      </c>
      <c r="G91" s="34" t="s">
        <v>495</v>
      </c>
      <c r="H91" s="34" t="s">
        <v>24</v>
      </c>
      <c r="I91" s="36"/>
      <c r="J91" s="36"/>
      <c r="K91" s="34" t="s">
        <v>107</v>
      </c>
      <c r="L91" s="28">
        <f>VLOOKUP(G91,Datas!$A$1:$B$37,2,FALSE)</f>
        <v>45750</v>
      </c>
    </row>
    <row r="92">
      <c r="A92" s="33">
        <v>45748.9674941088</v>
      </c>
      <c r="B92" s="34" t="s">
        <v>432</v>
      </c>
      <c r="C92" s="34" t="s">
        <v>433</v>
      </c>
      <c r="D92" s="34" t="s">
        <v>434</v>
      </c>
      <c r="E92" s="35">
        <v>23638.0</v>
      </c>
      <c r="F92" s="34" t="s">
        <v>435</v>
      </c>
      <c r="G92" s="34" t="s">
        <v>421</v>
      </c>
      <c r="H92" s="34" t="s">
        <v>24</v>
      </c>
      <c r="I92" s="36"/>
      <c r="J92" s="36"/>
      <c r="K92" s="34" t="s">
        <v>436</v>
      </c>
      <c r="L92" s="28">
        <f>VLOOKUP(G92,Datas!$A$1:$B$37,2,FALSE)</f>
        <v>45750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2.88"/>
    <col customWidth="1" min="5" max="5" width="15.75"/>
  </cols>
  <sheetData>
    <row r="1">
      <c r="A1" s="37" t="s">
        <v>502</v>
      </c>
      <c r="B1" s="38" t="s">
        <v>503</v>
      </c>
      <c r="C1" s="38" t="s">
        <v>504</v>
      </c>
      <c r="D1" s="37" t="s">
        <v>24</v>
      </c>
      <c r="E1" s="37" t="s">
        <v>17</v>
      </c>
      <c r="F1" s="39"/>
      <c r="G1" s="37" t="s">
        <v>505</v>
      </c>
      <c r="H1" s="37" t="s">
        <v>497</v>
      </c>
      <c r="I1" s="37" t="s">
        <v>506</v>
      </c>
    </row>
    <row r="2">
      <c r="A2" s="40"/>
      <c r="B2" s="41" t="s">
        <v>16</v>
      </c>
      <c r="C2" s="42"/>
      <c r="D2" s="43">
        <f>COUNTIFS('Respostas ao formulário 1'!$H$2:$H$2054,$D$1,'Respostas ao formulário 1'!$G$2:$G$2054,$B2)</f>
        <v>3</v>
      </c>
      <c r="E2" s="43">
        <f>COUNTIFS('Respostas ao formulário 1'!$H$2:$H$2054,$E$1,'Respostas ao formulário 1'!$G$2:$G$2054,$B2)</f>
        <v>3</v>
      </c>
      <c r="F2" s="39"/>
      <c r="G2" s="43">
        <f t="shared" ref="G2:G37" si="1">E2+D2</f>
        <v>6</v>
      </c>
      <c r="H2" s="44">
        <f>VLOOKUP(B2,Tabela_1[],2,FALSE)</f>
        <v>45749</v>
      </c>
      <c r="I2" s="45">
        <v>1.0</v>
      </c>
    </row>
    <row r="3">
      <c r="A3" s="40"/>
      <c r="B3" s="41" t="s">
        <v>51</v>
      </c>
      <c r="C3" s="42"/>
      <c r="D3" s="43">
        <f>COUNTIFS('Respostas ao formulário 1'!$H$2:$H$2054,$D$1,'Respostas ao formulário 1'!$G$2:$G$2054,$B3)</f>
        <v>0</v>
      </c>
      <c r="E3" s="43">
        <f>COUNTIFS('Respostas ao formulário 1'!$H$2:$H$2054,$E$1,'Respostas ao formulário 1'!$G$2:$G$2054,$B3)</f>
        <v>2</v>
      </c>
      <c r="F3" s="39"/>
      <c r="G3" s="43">
        <f t="shared" si="1"/>
        <v>2</v>
      </c>
      <c r="H3" s="44">
        <f>VLOOKUP(B3,Tabela_1[],2,FALSE)</f>
        <v>45749</v>
      </c>
      <c r="I3" s="45">
        <v>2.0</v>
      </c>
    </row>
    <row r="4">
      <c r="A4" s="40"/>
      <c r="B4" s="41" t="s">
        <v>62</v>
      </c>
      <c r="C4" s="42"/>
      <c r="D4" s="43">
        <f>COUNTIFS('Respostas ao formulário 1'!$H$2:$H$2054,$D$1,'Respostas ao formulário 1'!$G$2:$G$2054,$B4)</f>
        <v>0</v>
      </c>
      <c r="E4" s="43">
        <f>COUNTIFS('Respostas ao formulário 1'!$H$2:$H$2054,$E$1,'Respostas ao formulário 1'!$G$2:$G$2054,$B4)</f>
        <v>2</v>
      </c>
      <c r="F4" s="39"/>
      <c r="G4" s="43">
        <f t="shared" si="1"/>
        <v>2</v>
      </c>
      <c r="H4" s="44">
        <f>VLOOKUP(B4,Tabela_1[],2,FALSE)</f>
        <v>45749</v>
      </c>
      <c r="I4" s="45">
        <v>3.0</v>
      </c>
    </row>
    <row r="5">
      <c r="A5" s="40"/>
      <c r="B5" s="41" t="s">
        <v>73</v>
      </c>
      <c r="C5" s="42"/>
      <c r="D5" s="43">
        <f>COUNTIFS('Respostas ao formulário 1'!$H$2:$H$2054,$D$1,'Respostas ao formulário 1'!$G$2:$G$2054,$B5)</f>
        <v>0</v>
      </c>
      <c r="E5" s="43">
        <f>COUNTIFS('Respostas ao formulário 1'!$H$2:$H$2054,$E$1,'Respostas ao formulário 1'!$G$2:$G$2054,$B5)</f>
        <v>2</v>
      </c>
      <c r="F5" s="39"/>
      <c r="G5" s="43">
        <f t="shared" si="1"/>
        <v>2</v>
      </c>
      <c r="H5" s="44">
        <f>VLOOKUP(B5,Tabela_1[],2,FALSE)</f>
        <v>45749</v>
      </c>
      <c r="I5" s="45">
        <v>4.0</v>
      </c>
    </row>
    <row r="6">
      <c r="A6" s="40"/>
      <c r="B6" s="41" t="s">
        <v>84</v>
      </c>
      <c r="C6" s="42"/>
      <c r="D6" s="43">
        <f>COUNTIFS('Respostas ao formulário 1'!$H$2:$H$2054,$D$1,'Respostas ao formulário 1'!$G$2:$G$2054,$B6)</f>
        <v>0</v>
      </c>
      <c r="E6" s="43">
        <f>COUNTIFS('Respostas ao formulário 1'!$H$2:$H$2054,$E$1,'Respostas ao formulário 1'!$G$2:$G$2054,$B6)</f>
        <v>1</v>
      </c>
      <c r="F6" s="39"/>
      <c r="G6" s="43">
        <f t="shared" si="1"/>
        <v>1</v>
      </c>
      <c r="H6" s="44">
        <f>VLOOKUP(B6,Tabela_1[],2,FALSE)</f>
        <v>45749</v>
      </c>
      <c r="I6" s="45">
        <v>5.0</v>
      </c>
    </row>
    <row r="7">
      <c r="A7" s="40"/>
      <c r="B7" s="41" t="s">
        <v>90</v>
      </c>
      <c r="C7" s="42"/>
      <c r="D7" s="43">
        <f>COUNTIFS('Respostas ao formulário 1'!$H$2:$H$2054,$D$1,'Respostas ao formulário 1'!$G$2:$G$2054,$B7)</f>
        <v>2</v>
      </c>
      <c r="E7" s="43">
        <f>COUNTIFS('Respostas ao formulário 1'!$H$2:$H$2054,$E$1,'Respostas ao formulário 1'!$G$2:$G$2054,$B7)</f>
        <v>2</v>
      </c>
      <c r="F7" s="39"/>
      <c r="G7" s="43">
        <f t="shared" si="1"/>
        <v>4</v>
      </c>
      <c r="H7" s="44">
        <f>VLOOKUP(B7,Tabela_1[],2,FALSE)</f>
        <v>45749</v>
      </c>
      <c r="I7" s="45">
        <v>6.0</v>
      </c>
    </row>
    <row r="8" ht="15.0" customHeight="1">
      <c r="A8" s="40"/>
      <c r="B8" s="41" t="s">
        <v>112</v>
      </c>
      <c r="C8" s="42"/>
      <c r="D8" s="43">
        <f>COUNTIFS('Respostas ao formulário 1'!$H$2:$H$2054,$D$1,'Respostas ao formulário 1'!$G$2:$G$2054,$B8)</f>
        <v>1</v>
      </c>
      <c r="E8" s="43">
        <f>COUNTIFS('Respostas ao formulário 1'!$H$2:$H$2054,$E$1,'Respostas ao formulário 1'!$G$2:$G$2054,$B8)</f>
        <v>2</v>
      </c>
      <c r="F8" s="39"/>
      <c r="G8" s="43">
        <f t="shared" si="1"/>
        <v>3</v>
      </c>
      <c r="H8" s="44">
        <f>VLOOKUP(B8,Tabela_1[],2,FALSE)</f>
        <v>45749</v>
      </c>
      <c r="I8" s="45">
        <v>7.0</v>
      </c>
    </row>
    <row r="9">
      <c r="A9" s="40"/>
      <c r="B9" s="41" t="s">
        <v>139</v>
      </c>
      <c r="C9" s="42"/>
      <c r="D9" s="43">
        <f>COUNTIFS('Respostas ao formulário 1'!$H$2:$H$2054,$D$1,'Respostas ao formulário 1'!$G$2:$G$2054,$B9)</f>
        <v>1</v>
      </c>
      <c r="E9" s="43">
        <f>COUNTIFS('Respostas ao formulário 1'!$H$2:$H$2054,$E$1,'Respostas ao formulário 1'!$G$2:$G$2054,$B9)</f>
        <v>1</v>
      </c>
      <c r="F9" s="39"/>
      <c r="G9" s="43">
        <f t="shared" si="1"/>
        <v>2</v>
      </c>
      <c r="H9" s="44">
        <f>VLOOKUP(B9,Tabela_1[],2,FALSE)</f>
        <v>45749</v>
      </c>
      <c r="I9" s="45">
        <v>8.0</v>
      </c>
    </row>
    <row r="10">
      <c r="A10" s="40"/>
      <c r="B10" s="41" t="s">
        <v>150</v>
      </c>
      <c r="C10" s="42"/>
      <c r="D10" s="43">
        <f>COUNTIFS('Respostas ao formulário 1'!$H$2:$H$2054,$D$1,'Respostas ao formulário 1'!$G$2:$G$2054,$B10)</f>
        <v>0</v>
      </c>
      <c r="E10" s="43">
        <f>COUNTIFS('Respostas ao formulário 1'!$H$2:$H$2054,$E$1,'Respostas ao formulário 1'!$G$2:$G$2054,$B10)</f>
        <v>1</v>
      </c>
      <c r="F10" s="39"/>
      <c r="G10" s="43">
        <f t="shared" si="1"/>
        <v>1</v>
      </c>
      <c r="H10" s="44">
        <f>VLOOKUP(B10,Tabela_1[],2,FALSE)</f>
        <v>45749</v>
      </c>
      <c r="I10" s="45">
        <v>9.0</v>
      </c>
    </row>
    <row r="11">
      <c r="A11" s="40"/>
      <c r="B11" s="41" t="s">
        <v>156</v>
      </c>
      <c r="C11" s="42"/>
      <c r="D11" s="43">
        <f>COUNTIFS('Respostas ao formulário 1'!$H$2:$H$2054,$D$1,'Respostas ao formulário 1'!$G$2:$G$2054,$B11)</f>
        <v>0</v>
      </c>
      <c r="E11" s="43">
        <f>COUNTIFS('Respostas ao formulário 1'!$H$2:$H$2054,$E$1,'Respostas ao formulário 1'!$G$2:$G$2054,$B11)</f>
        <v>1</v>
      </c>
      <c r="F11" s="39"/>
      <c r="G11" s="43">
        <f t="shared" si="1"/>
        <v>1</v>
      </c>
      <c r="H11" s="44">
        <f>VLOOKUP(B11,Tabela_1[],2,FALSE)</f>
        <v>45749</v>
      </c>
      <c r="I11" s="45">
        <v>10.0</v>
      </c>
    </row>
    <row r="12">
      <c r="A12" s="40"/>
      <c r="B12" s="41" t="s">
        <v>162</v>
      </c>
      <c r="C12" s="42"/>
      <c r="D12" s="43">
        <f>COUNTIFS('Respostas ao formulário 1'!$H$2:$H$2054,$D$1,'Respostas ao formulário 1'!$G$2:$G$2054,$B12)</f>
        <v>2</v>
      </c>
      <c r="E12" s="43">
        <f>COUNTIFS('Respostas ao formulário 1'!$H$2:$H$2054,$E$1,'Respostas ao formulário 1'!$G$2:$G$2054,$B12)</f>
        <v>2</v>
      </c>
      <c r="F12" s="39"/>
      <c r="G12" s="43">
        <f t="shared" si="1"/>
        <v>4</v>
      </c>
      <c r="H12" s="44">
        <f>VLOOKUP(B12,Tabela_1[],2,FALSE)</f>
        <v>45749</v>
      </c>
      <c r="I12" s="45">
        <v>11.0</v>
      </c>
    </row>
    <row r="13">
      <c r="A13" s="40"/>
      <c r="B13" s="41" t="s">
        <v>183</v>
      </c>
      <c r="C13" s="42"/>
      <c r="D13" s="43">
        <f>COUNTIFS('Respostas ao formulário 1'!$H$2:$H$2054,$D$1,'Respostas ao formulário 1'!$G$2:$G$2054,$B13)</f>
        <v>1</v>
      </c>
      <c r="E13" s="43">
        <f>COUNTIFS('Respostas ao formulário 1'!$H$2:$H$2054,$E$1,'Respostas ao formulário 1'!$G$2:$G$2054,$B13)</f>
        <v>1</v>
      </c>
      <c r="F13" s="39"/>
      <c r="G13" s="43">
        <f t="shared" si="1"/>
        <v>2</v>
      </c>
      <c r="H13" s="44">
        <f>VLOOKUP(B13,Tabela_1[],2,FALSE)</f>
        <v>45749</v>
      </c>
      <c r="I13" s="45">
        <v>12.0</v>
      </c>
    </row>
    <row r="14">
      <c r="A14" s="40"/>
      <c r="B14" s="41" t="s">
        <v>498</v>
      </c>
      <c r="C14" s="42"/>
      <c r="D14" s="43">
        <f>COUNTIFS('Respostas ao formulário 1'!$H$2:$H$2054,$D$1,'Respostas ao formulário 1'!$G$2:$G$2054,$B14)</f>
        <v>0</v>
      </c>
      <c r="E14" s="43">
        <f>COUNTIFS('Respostas ao formulário 1'!$H$2:$H$2054,$E$1,'Respostas ao formulário 1'!$G$2:$G$2054,$B14)</f>
        <v>0</v>
      </c>
      <c r="F14" s="39"/>
      <c r="G14" s="43">
        <f t="shared" si="1"/>
        <v>0</v>
      </c>
      <c r="H14" s="44">
        <f>VLOOKUP(B14,Tabela_1[],2,FALSE)</f>
        <v>45749</v>
      </c>
      <c r="I14" s="45">
        <v>13.0</v>
      </c>
    </row>
    <row r="15">
      <c r="A15" s="40"/>
      <c r="B15" s="41" t="s">
        <v>194</v>
      </c>
      <c r="C15" s="42"/>
      <c r="D15" s="43">
        <f>COUNTIFS('Respostas ao formulário 1'!$H$2:$H$2054,$D$1,'Respostas ao formulário 1'!$G$2:$G$2054,$B15)</f>
        <v>0</v>
      </c>
      <c r="E15" s="43">
        <f>COUNTIFS('Respostas ao formulário 1'!$H$2:$H$2054,$E$1,'Respostas ao formulário 1'!$G$2:$G$2054,$B15)</f>
        <v>1</v>
      </c>
      <c r="F15" s="39"/>
      <c r="G15" s="43">
        <f t="shared" si="1"/>
        <v>1</v>
      </c>
      <c r="H15" s="44">
        <f>VLOOKUP(B15,Tabela_1[],2,FALSE)</f>
        <v>45749</v>
      </c>
      <c r="I15" s="45">
        <v>14.0</v>
      </c>
    </row>
    <row r="16">
      <c r="A16" s="40"/>
      <c r="B16" s="41" t="s">
        <v>200</v>
      </c>
      <c r="C16" s="42"/>
      <c r="D16" s="43">
        <f>COUNTIFS('Respostas ao formulário 1'!$H$2:$H$2054,$D$1,'Respostas ao formulário 1'!$G$2:$G$2054,$B16)</f>
        <v>0</v>
      </c>
      <c r="E16" s="43">
        <f>COUNTIFS('Respostas ao formulário 1'!$H$2:$H$2054,$E$1,'Respostas ao formulário 1'!$G$2:$G$2054,$B16)</f>
        <v>1</v>
      </c>
      <c r="F16" s="39"/>
      <c r="G16" s="43">
        <f t="shared" si="1"/>
        <v>1</v>
      </c>
      <c r="H16" s="44">
        <f>VLOOKUP(B16,Tabela_1[],2,FALSE)</f>
        <v>45749</v>
      </c>
      <c r="I16" s="45">
        <v>15.0</v>
      </c>
    </row>
    <row r="17">
      <c r="A17" s="40"/>
      <c r="B17" s="41" t="s">
        <v>206</v>
      </c>
      <c r="C17" s="42"/>
      <c r="D17" s="43">
        <f>COUNTIFS('Respostas ao formulário 1'!$H$2:$H$2054,$D$1,'Respostas ao formulário 1'!$G$2:$G$2054,$B17)</f>
        <v>2</v>
      </c>
      <c r="E17" s="43">
        <f>COUNTIFS('Respostas ao formulário 1'!$H$2:$H$2054,$E$1,'Respostas ao formulário 1'!$G$2:$G$2054,$B17)</f>
        <v>2</v>
      </c>
      <c r="F17" s="39"/>
      <c r="G17" s="43">
        <f t="shared" si="1"/>
        <v>4</v>
      </c>
      <c r="H17" s="44">
        <f>VLOOKUP(B17,Tabela_1[],2,FALSE)</f>
        <v>45749</v>
      </c>
      <c r="I17" s="45">
        <v>16.0</v>
      </c>
    </row>
    <row r="18">
      <c r="A18" s="40"/>
      <c r="B18" s="41" t="s">
        <v>226</v>
      </c>
      <c r="C18" s="42"/>
      <c r="D18" s="43">
        <f>COUNTIFS('Respostas ao formulário 1'!$H$2:$H$2054,$D$1,'Respostas ao formulário 1'!$G$2:$G$2054,$B18)</f>
        <v>0</v>
      </c>
      <c r="E18" s="43">
        <f>COUNTIFS('Respostas ao formulário 1'!$H$2:$H$2054,$E$1,'Respostas ao formulário 1'!$G$2:$G$2054,$B18)</f>
        <v>3</v>
      </c>
      <c r="F18" s="39"/>
      <c r="G18" s="43">
        <f t="shared" si="1"/>
        <v>3</v>
      </c>
      <c r="H18" s="44">
        <f>VLOOKUP(B18,Tabela_1[],2,FALSE)</f>
        <v>45749</v>
      </c>
      <c r="I18" s="45">
        <v>17.0</v>
      </c>
    </row>
    <row r="19">
      <c r="A19" s="40"/>
      <c r="B19" s="41" t="s">
        <v>238</v>
      </c>
      <c r="C19" s="42"/>
      <c r="D19" s="43">
        <f>COUNTIFS('Respostas ao formulário 1'!$H$2:$H$2054,$D$1,'Respostas ao formulário 1'!$G$2:$G$2054,$B19)</f>
        <v>0</v>
      </c>
      <c r="E19" s="43">
        <f>COUNTIFS('Respostas ao formulário 1'!$H$2:$H$2054,$E$1,'Respostas ao formulário 1'!$G$2:$G$2054,$B19)</f>
        <v>2</v>
      </c>
      <c r="F19" s="39"/>
      <c r="G19" s="43">
        <f t="shared" si="1"/>
        <v>2</v>
      </c>
      <c r="H19" s="44">
        <f>VLOOKUP(B19,Tabela_1[],2,FALSE)</f>
        <v>45749</v>
      </c>
      <c r="I19" s="45">
        <v>18.0</v>
      </c>
    </row>
    <row r="20">
      <c r="A20" s="40"/>
      <c r="B20" s="41" t="s">
        <v>249</v>
      </c>
      <c r="C20" s="42"/>
      <c r="D20" s="43">
        <f>COUNTIFS('Respostas ao formulário 1'!$H$2:$H$2054,$D$1,'Respostas ao formulário 1'!$G$2:$G$2054,$B20)</f>
        <v>0</v>
      </c>
      <c r="E20" s="43">
        <f>COUNTIFS('Respostas ao formulário 1'!$H$2:$H$2054,$E$1,'Respostas ao formulário 1'!$G$2:$G$2054,$B20)</f>
        <v>2</v>
      </c>
      <c r="F20" s="39"/>
      <c r="G20" s="43">
        <f t="shared" si="1"/>
        <v>2</v>
      </c>
      <c r="H20" s="44">
        <f>VLOOKUP(B20,Tabela_1[],2,FALSE)</f>
        <v>45750</v>
      </c>
      <c r="I20" s="45">
        <v>1.0</v>
      </c>
    </row>
    <row r="21">
      <c r="A21" s="40"/>
      <c r="B21" s="41" t="s">
        <v>260</v>
      </c>
      <c r="C21" s="42"/>
      <c r="D21" s="43">
        <f>COUNTIFS('Respostas ao formulário 1'!$H$2:$H$2054,$D$1,'Respostas ao formulário 1'!$G$2:$G$2054,$B21)</f>
        <v>2</v>
      </c>
      <c r="E21" s="43">
        <f>COUNTIFS('Respostas ao formulário 1'!$H$2:$H$2054,$E$1,'Respostas ao formulário 1'!$G$2:$G$2054,$B21)</f>
        <v>1</v>
      </c>
      <c r="F21" s="39"/>
      <c r="G21" s="43">
        <f t="shared" si="1"/>
        <v>3</v>
      </c>
      <c r="H21" s="44">
        <f>VLOOKUP(B21,Tabela_1[],2,FALSE)</f>
        <v>45750</v>
      </c>
      <c r="I21" s="45">
        <v>2.0</v>
      </c>
    </row>
    <row r="22">
      <c r="A22" s="40"/>
      <c r="B22" s="41" t="s">
        <v>273</v>
      </c>
      <c r="C22" s="42"/>
      <c r="D22" s="43">
        <f>COUNTIFS('Respostas ao formulário 1'!$H$2:$H$2054,$D$1,'Respostas ao formulário 1'!$G$2:$G$2054,$B22)</f>
        <v>0</v>
      </c>
      <c r="E22" s="43">
        <f>COUNTIFS('Respostas ao formulário 1'!$H$2:$H$2054,$E$1,'Respostas ao formulário 1'!$G$2:$G$2054,$B22)</f>
        <v>2</v>
      </c>
      <c r="F22" s="39"/>
      <c r="G22" s="43">
        <f t="shared" si="1"/>
        <v>2</v>
      </c>
      <c r="H22" s="44">
        <f>VLOOKUP(B22,Tabela_1[],2,FALSE)</f>
        <v>45750</v>
      </c>
      <c r="I22" s="45">
        <v>3.0</v>
      </c>
    </row>
    <row r="23">
      <c r="A23" s="40"/>
      <c r="B23" s="41" t="s">
        <v>284</v>
      </c>
      <c r="C23" s="42"/>
      <c r="D23" s="43">
        <f>COUNTIFS('Respostas ao formulário 1'!$H$2:$H$2054,$D$1,'Respostas ao formulário 1'!$G$2:$G$2054,$B23)</f>
        <v>2</v>
      </c>
      <c r="E23" s="43">
        <f>COUNTIFS('Respostas ao formulário 1'!$H$2:$H$2054,$E$1,'Respostas ao formulário 1'!$G$2:$G$2054,$B23)</f>
        <v>2</v>
      </c>
      <c r="F23" s="39"/>
      <c r="G23" s="43">
        <f t="shared" si="1"/>
        <v>4</v>
      </c>
      <c r="H23" s="44">
        <f>VLOOKUP(B23,Tabela_1[],2,FALSE)</f>
        <v>45750</v>
      </c>
      <c r="I23" s="45">
        <v>4.0</v>
      </c>
    </row>
    <row r="24">
      <c r="A24" s="40"/>
      <c r="B24" s="41" t="s">
        <v>302</v>
      </c>
      <c r="C24" s="42"/>
      <c r="D24" s="43">
        <f>COUNTIFS('Respostas ao formulário 1'!$H$2:$H$2054,$D$1,'Respostas ao formulário 1'!$G$2:$G$2054,$B24)</f>
        <v>2</v>
      </c>
      <c r="E24" s="43">
        <f>COUNTIFS('Respostas ao formulário 1'!$H$2:$H$2054,$E$1,'Respostas ao formulário 1'!$G$2:$G$2054,$B24)</f>
        <v>3</v>
      </c>
      <c r="F24" s="39"/>
      <c r="G24" s="43">
        <f t="shared" si="1"/>
        <v>5</v>
      </c>
      <c r="H24" s="44">
        <f>VLOOKUP(B24,Tabela_1[],2,FALSE)</f>
        <v>45750</v>
      </c>
      <c r="I24" s="45">
        <v>5.0</v>
      </c>
    </row>
    <row r="25">
      <c r="A25" s="40"/>
      <c r="B25" s="41" t="s">
        <v>329</v>
      </c>
      <c r="C25" s="42"/>
      <c r="D25" s="43">
        <f>COUNTIFS('Respostas ao formulário 1'!$H$2:$H$2054,$D$1,'Respostas ao formulário 1'!$G$2:$G$2054,$B25)</f>
        <v>0</v>
      </c>
      <c r="E25" s="43">
        <f>COUNTIFS('Respostas ao formulário 1'!$H$2:$H$2054,$E$1,'Respostas ao formulário 1'!$G$2:$G$2054,$B25)</f>
        <v>2</v>
      </c>
      <c r="F25" s="39"/>
      <c r="G25" s="43">
        <f t="shared" si="1"/>
        <v>2</v>
      </c>
      <c r="H25" s="44">
        <f>VLOOKUP(B25,Tabela_1[],2,FALSE)</f>
        <v>45750</v>
      </c>
      <c r="I25" s="45">
        <v>6.0</v>
      </c>
    </row>
    <row r="26">
      <c r="A26" s="40"/>
      <c r="B26" s="41" t="s">
        <v>337</v>
      </c>
      <c r="C26" s="42"/>
      <c r="D26" s="43">
        <f>COUNTIFS('Respostas ao formulário 1'!$H$2:$H$2054,$D$1,'Respostas ao formulário 1'!$G$2:$G$2054,$B26)</f>
        <v>2</v>
      </c>
      <c r="E26" s="43">
        <f>COUNTIFS('Respostas ao formulário 1'!$H$2:$H$2054,$E$1,'Respostas ao formulário 1'!$G$2:$G$2054,$B26)</f>
        <v>3</v>
      </c>
      <c r="F26" s="39"/>
      <c r="G26" s="43">
        <f t="shared" si="1"/>
        <v>5</v>
      </c>
      <c r="H26" s="44">
        <f>VLOOKUP(B26,Tabela_1[],2,FALSE)</f>
        <v>45750</v>
      </c>
      <c r="I26" s="45">
        <v>7.0</v>
      </c>
    </row>
    <row r="27">
      <c r="A27" s="40"/>
      <c r="B27" s="41" t="s">
        <v>363</v>
      </c>
      <c r="C27" s="42"/>
      <c r="D27" s="43">
        <f>COUNTIFS('Respostas ao formulário 1'!$H$2:$H$2054,$D$1,'Respostas ao formulário 1'!$G$2:$G$2054,$B27)</f>
        <v>0</v>
      </c>
      <c r="E27" s="43">
        <f>COUNTIFS('Respostas ao formulário 1'!$H$2:$H$2054,$E$1,'Respostas ao formulário 1'!$G$2:$G$2054,$B27)</f>
        <v>1</v>
      </c>
      <c r="F27" s="39"/>
      <c r="G27" s="43">
        <f t="shared" si="1"/>
        <v>1</v>
      </c>
      <c r="H27" s="44">
        <f>VLOOKUP(B27,Tabela_1[],2,FALSE)</f>
        <v>45750</v>
      </c>
      <c r="I27" s="45">
        <v>8.0</v>
      </c>
    </row>
    <row r="28">
      <c r="A28" s="40"/>
      <c r="B28" s="41" t="s">
        <v>369</v>
      </c>
      <c r="C28" s="42"/>
      <c r="D28" s="43">
        <f>COUNTIFS('Respostas ao formulário 1'!$H$2:$H$2054,$D$1,'Respostas ao formulário 1'!$G$2:$G$2054,$B28)</f>
        <v>3</v>
      </c>
      <c r="E28" s="43">
        <f>COUNTIFS('Respostas ao formulário 1'!$H$2:$H$2054,$E$1,'Respostas ao formulário 1'!$G$2:$G$2054,$B28)</f>
        <v>2</v>
      </c>
      <c r="F28" s="39"/>
      <c r="G28" s="43">
        <f t="shared" si="1"/>
        <v>5</v>
      </c>
      <c r="H28" s="44">
        <f>VLOOKUP(B28,Tabela_1[],2,FALSE)</f>
        <v>45750</v>
      </c>
      <c r="I28" s="45">
        <v>9.0</v>
      </c>
    </row>
    <row r="29">
      <c r="A29" s="40"/>
      <c r="B29" s="41" t="s">
        <v>394</v>
      </c>
      <c r="C29" s="42"/>
      <c r="D29" s="43">
        <f>COUNTIFS('Respostas ao formulário 1'!$H$2:$H$2054,$D$1,'Respostas ao formulário 1'!$G$2:$G$2054,$B29)</f>
        <v>1</v>
      </c>
      <c r="E29" s="43">
        <f>COUNTIFS('Respostas ao formulário 1'!$H$2:$H$2054,$E$1,'Respostas ao formulário 1'!$G$2:$G$2054,$B29)</f>
        <v>1</v>
      </c>
      <c r="F29" s="39"/>
      <c r="G29" s="43">
        <f t="shared" si="1"/>
        <v>2</v>
      </c>
      <c r="H29" s="44">
        <f>VLOOKUP(B29,Tabela_1[],2,FALSE)</f>
        <v>45750</v>
      </c>
      <c r="I29" s="45">
        <v>10.0</v>
      </c>
    </row>
    <row r="30">
      <c r="A30" s="40"/>
      <c r="B30" s="41" t="s">
        <v>405</v>
      </c>
      <c r="C30" s="42"/>
      <c r="D30" s="43">
        <f>COUNTIFS('Respostas ao formulário 1'!$H$2:$H$2054,$D$1,'Respostas ao formulário 1'!$G$2:$G$2054,$B30)</f>
        <v>1</v>
      </c>
      <c r="E30" s="43">
        <f>COUNTIFS('Respostas ao formulário 1'!$H$2:$H$2054,$E$1,'Respostas ao formulário 1'!$G$2:$G$2054,$B30)</f>
        <v>2</v>
      </c>
      <c r="F30" s="39"/>
      <c r="G30" s="43">
        <f t="shared" si="1"/>
        <v>3</v>
      </c>
      <c r="H30" s="44">
        <f>VLOOKUP(B30,Tabela_1[],2,FALSE)</f>
        <v>45750</v>
      </c>
      <c r="I30" s="45">
        <v>11.0</v>
      </c>
    </row>
    <row r="31">
      <c r="A31" s="40"/>
      <c r="B31" s="41" t="s">
        <v>421</v>
      </c>
      <c r="C31" s="42"/>
      <c r="D31" s="43">
        <f>COUNTIFS('Respostas ao formulário 1'!$H$2:$H$2054,$D$1,'Respostas ao formulário 1'!$G$2:$G$2054,$B31)</f>
        <v>2</v>
      </c>
      <c r="E31" s="43">
        <f>COUNTIFS('Respostas ao formulário 1'!$H$2:$H$2054,$E$1,'Respostas ao formulário 1'!$G$2:$G$2054,$B31)</f>
        <v>2</v>
      </c>
      <c r="F31" s="39"/>
      <c r="G31" s="43">
        <f t="shared" si="1"/>
        <v>4</v>
      </c>
      <c r="H31" s="44">
        <f>VLOOKUP(B31,Tabela_1[],2,FALSE)</f>
        <v>45750</v>
      </c>
      <c r="I31" s="45">
        <v>12.0</v>
      </c>
    </row>
    <row r="32">
      <c r="A32" s="40"/>
      <c r="B32" s="41" t="s">
        <v>441</v>
      </c>
      <c r="C32" s="42"/>
      <c r="D32" s="43">
        <f>COUNTIFS('Respostas ao formulário 1'!$H$2:$H$2054,$D$1,'Respostas ao formulário 1'!$G$2:$G$2054,$B32)</f>
        <v>2</v>
      </c>
      <c r="E32" s="43">
        <f>COUNTIFS('Respostas ao formulário 1'!$H$2:$H$2054,$E$1,'Respostas ao formulário 1'!$G$2:$G$2054,$B32)</f>
        <v>2</v>
      </c>
      <c r="F32" s="39"/>
      <c r="G32" s="43">
        <f t="shared" si="1"/>
        <v>4</v>
      </c>
      <c r="H32" s="44">
        <f>VLOOKUP(B32,Tabela_1[],2,FALSE)</f>
        <v>45750</v>
      </c>
      <c r="I32" s="45">
        <v>13.0</v>
      </c>
    </row>
    <row r="33">
      <c r="A33" s="40"/>
      <c r="B33" s="41" t="s">
        <v>461</v>
      </c>
      <c r="C33" s="42"/>
      <c r="D33" s="43">
        <f>COUNTIFS('Respostas ao formulário 1'!$H$2:$H$2054,$D$1,'Respostas ao formulário 1'!$G$2:$G$2054,$B33)</f>
        <v>2</v>
      </c>
      <c r="E33" s="43">
        <f>COUNTIFS('Respostas ao formulário 1'!$H$2:$H$2054,$E$1,'Respostas ao formulário 1'!$G$2:$G$2054,$B33)</f>
        <v>1</v>
      </c>
      <c r="F33" s="39"/>
      <c r="G33" s="43">
        <f t="shared" si="1"/>
        <v>3</v>
      </c>
      <c r="H33" s="44">
        <f>VLOOKUP(B33,Tabela_1[],2,FALSE)</f>
        <v>45750</v>
      </c>
      <c r="I33" s="45">
        <v>14.0</v>
      </c>
    </row>
    <row r="34">
      <c r="A34" s="40"/>
      <c r="B34" s="41" t="s">
        <v>499</v>
      </c>
      <c r="C34" s="42"/>
      <c r="D34" s="43">
        <f>COUNTIFS('Respostas ao formulário 1'!$H$2:$H$2054,$D$1,'Respostas ao formulário 1'!$G$2:$G$2054,$B34)</f>
        <v>0</v>
      </c>
      <c r="E34" s="43">
        <f>COUNTIFS('Respostas ao formulário 1'!$H$2:$H$2054,$E$1,'Respostas ao formulário 1'!$G$2:$G$2054,$B34)</f>
        <v>0</v>
      </c>
      <c r="F34" s="39"/>
      <c r="G34" s="43">
        <f t="shared" si="1"/>
        <v>0</v>
      </c>
      <c r="H34" s="44">
        <f>VLOOKUP(B34,Tabela_1[],2,FALSE)</f>
        <v>45750</v>
      </c>
      <c r="I34" s="45">
        <v>15.0</v>
      </c>
    </row>
    <row r="35">
      <c r="A35" s="40"/>
      <c r="B35" s="41" t="s">
        <v>477</v>
      </c>
      <c r="C35" s="42"/>
      <c r="D35" s="43">
        <f>COUNTIFS('Respostas ao formulário 1'!$H$2:$H$2054,$D$1,'Respostas ao formulário 1'!$G$2:$G$2054,$B35)</f>
        <v>0</v>
      </c>
      <c r="E35" s="43">
        <f>COUNTIFS('Respostas ao formulário 1'!$H$2:$H$2054,$E$1,'Respostas ao formulário 1'!$G$2:$G$2054,$B35)</f>
        <v>4</v>
      </c>
      <c r="F35" s="39"/>
      <c r="G35" s="43">
        <f t="shared" si="1"/>
        <v>4</v>
      </c>
      <c r="H35" s="44">
        <f>VLOOKUP(B35,Tabela_1[],2,FALSE)</f>
        <v>45750</v>
      </c>
      <c r="I35" s="45">
        <v>16.0</v>
      </c>
    </row>
    <row r="36">
      <c r="A36" s="40"/>
      <c r="B36" s="41" t="s">
        <v>495</v>
      </c>
      <c r="C36" s="42"/>
      <c r="D36" s="43">
        <f>COUNTIFS('Respostas ao formulário 1'!$H$2:$H$2054,$D$1,'Respostas ao formulário 1'!$G$2:$G$2054,$B36)</f>
        <v>1</v>
      </c>
      <c r="E36" s="43">
        <f>COUNTIFS('Respostas ao formulário 1'!$H$2:$H$2054,$E$1,'Respostas ao formulário 1'!$G$2:$G$2054,$B36)</f>
        <v>0</v>
      </c>
      <c r="F36" s="39"/>
      <c r="G36" s="43">
        <f t="shared" si="1"/>
        <v>1</v>
      </c>
      <c r="H36" s="44">
        <f>VLOOKUP(B36,Tabela_1[],2,FALSE)</f>
        <v>45750</v>
      </c>
      <c r="I36" s="45">
        <v>17.0</v>
      </c>
    </row>
    <row r="37">
      <c r="A37" s="40"/>
      <c r="B37" s="41" t="s">
        <v>127</v>
      </c>
      <c r="C37" s="42"/>
      <c r="D37" s="43">
        <f>COUNTIFS('Respostas ao formulário 1'!$H$2:$H$2054,$D$1,'Respostas ao formulário 1'!$G$2:$G$2054,$B37)</f>
        <v>0</v>
      </c>
      <c r="E37" s="43">
        <f>COUNTIFS('Respostas ao formulário 1'!$H$2:$H$2054,$E$1,'Respostas ao formulário 1'!$G$2:$G$2054,$B37)</f>
        <v>2</v>
      </c>
      <c r="F37" s="39"/>
      <c r="G37" s="43">
        <f t="shared" si="1"/>
        <v>2</v>
      </c>
      <c r="H37" s="44">
        <f>VLOOKUP(B37,Tabela_1[],2,FALSE)</f>
        <v>45750</v>
      </c>
      <c r="I37" s="45">
        <v>18.0</v>
      </c>
    </row>
    <row r="38">
      <c r="A38" s="39"/>
      <c r="B38" s="39"/>
      <c r="C38" s="39"/>
      <c r="D38" s="39"/>
      <c r="E38" s="39"/>
      <c r="F38" s="39"/>
      <c r="G38" s="39"/>
    </row>
    <row r="39">
      <c r="A39" s="39"/>
      <c r="B39" s="39"/>
      <c r="C39" s="39"/>
      <c r="D39" s="39"/>
      <c r="E39" s="39"/>
      <c r="F39" s="39"/>
      <c r="G39" s="39"/>
    </row>
    <row r="40">
      <c r="A40" s="39"/>
      <c r="B40" s="39"/>
      <c r="C40" s="39"/>
      <c r="D40" s="37" t="s">
        <v>507</v>
      </c>
      <c r="E40" s="37" t="s">
        <v>17</v>
      </c>
      <c r="F40" s="39"/>
      <c r="G40" s="37" t="s">
        <v>505</v>
      </c>
    </row>
    <row r="41">
      <c r="A41" s="46" t="s">
        <v>508</v>
      </c>
      <c r="B41" s="47"/>
      <c r="C41" s="48"/>
      <c r="D41" s="40">
        <f t="shared" ref="D41:E41" si="2">COUNTIF(D2:D34,"&gt;0")</f>
        <v>17</v>
      </c>
      <c r="E41" s="40">
        <f t="shared" si="2"/>
        <v>31</v>
      </c>
      <c r="F41" s="39"/>
      <c r="G41" s="40">
        <f>COUNTIF(G2:G34,"&gt;0")</f>
        <v>31</v>
      </c>
    </row>
    <row r="42">
      <c r="A42" s="49" t="s">
        <v>509</v>
      </c>
      <c r="B42" s="47"/>
      <c r="C42" s="48"/>
      <c r="D42" s="40">
        <f t="shared" ref="D42:E42" si="3">SUM(D2:D34)</f>
        <v>31</v>
      </c>
      <c r="E42" s="40">
        <f t="shared" si="3"/>
        <v>55</v>
      </c>
      <c r="F42" s="39"/>
      <c r="G42" s="40">
        <f>SUM(G2:G34)</f>
        <v>86</v>
      </c>
    </row>
  </sheetData>
  <mergeCells count="2">
    <mergeCell ref="A41:C41"/>
    <mergeCell ref="A42:C42"/>
  </mergeCells>
  <conditionalFormatting sqref="D2:D37">
    <cfRule type="cellIs" dxfId="7" priority="1" operator="equal">
      <formula>0</formula>
    </cfRule>
  </conditionalFormatting>
  <conditionalFormatting sqref="E2:E37">
    <cfRule type="cellIs" dxfId="7" priority="2" operator="equal">
      <formula>0</formula>
    </cfRule>
  </conditionalFormatting>
  <conditionalFormatting sqref="G2:G37">
    <cfRule type="cellIs" dxfId="7" priority="3" operator="equal">
      <formula>0</formula>
    </cfRule>
  </conditionalFormatting>
  <drawing r:id="rId1"/>
</worksheet>
</file>