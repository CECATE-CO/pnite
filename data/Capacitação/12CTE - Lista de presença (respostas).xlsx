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Inscrições" sheetId="2" r:id="rId6"/>
  </sheets>
  <definedNames>
    <definedName hidden="1" localSheetId="0" name="_xlnm._FilterDatabase">'Respostas ao formulário 1'!$A$1:$M$36</definedName>
  </definedNames>
  <calcPr/>
</workbook>
</file>

<file path=xl/sharedStrings.xml><?xml version="1.0" encoding="utf-8"?>
<sst xmlns="http://schemas.openxmlformats.org/spreadsheetml/2006/main" count="681" uniqueCount="334">
  <si>
    <t>Carimbo de data/hora</t>
  </si>
  <si>
    <t>Endereço de e-mail</t>
  </si>
  <si>
    <t>Nome Completo:</t>
  </si>
  <si>
    <t>Confirme o E-mail</t>
  </si>
  <si>
    <t>CPF</t>
  </si>
  <si>
    <t>Data de Nascimento</t>
  </si>
  <si>
    <t>Telefone (XX)XXXXX-XXXX</t>
  </si>
  <si>
    <t>Município que representa:</t>
  </si>
  <si>
    <t>Você faz parte do:</t>
  </si>
  <si>
    <t>Que cargo você ocupa na gestão municipal?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</si>
  <si>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</si>
  <si>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Que cargo você ocupa no CACS-FUNDEB?</t>
  </si>
  <si>
    <t>Confirmação de veracidade dos dados</t>
  </si>
  <si>
    <t>Coluna 14</t>
  </si>
  <si>
    <t>dorinhajm.2015@gmail.com</t>
  </si>
  <si>
    <t>Francisca Teodora Monteiro de Oliveira</t>
  </si>
  <si>
    <t>000.253.751-64</t>
  </si>
  <si>
    <t>(61)98215-2356</t>
  </si>
  <si>
    <t>Valparaíso de Goiás</t>
  </si>
  <si>
    <t>CACS-FUNDEB</t>
  </si>
  <si>
    <t>Conselheiro</t>
  </si>
  <si>
    <t>Declaro que revisei e confirmo a veracidade de todas as informações prestadas neste formulário.</t>
  </si>
  <si>
    <t>raimundooneeto@gmail.com</t>
  </si>
  <si>
    <t>Raimundo Vieira Soares Neto</t>
  </si>
  <si>
    <t>002.897.261-90</t>
  </si>
  <si>
    <t>(61)99427-9449</t>
  </si>
  <si>
    <t>Santo Antônio do Descoberto</t>
  </si>
  <si>
    <t>Gestão municipal</t>
  </si>
  <si>
    <t>Assistente De Transporte Escolar</t>
  </si>
  <si>
    <t>O Transporte Escolar Rural e Urbano vem crescendo com Georeferenciamento de cada aluno, está avançando com identificação do Secretário Da Educação Elismar (Lima Vendedor) e a falta de um Responsável me indicou e deixou com essa responsabilidade aonde estamos construindo um Transporte Escolar com Transparência e Qualidade!</t>
  </si>
  <si>
    <t>jucienerdsa@gmail.com</t>
  </si>
  <si>
    <t>Juciene Rodrigues da Silva</t>
  </si>
  <si>
    <t>003.854.301-08</t>
  </si>
  <si>
    <t>(61)99835-9941</t>
  </si>
  <si>
    <t>Formosa</t>
  </si>
  <si>
    <t>Técnica da prestação de contas</t>
  </si>
  <si>
    <t>luizinho.brandao@hotmail.com</t>
  </si>
  <si>
    <t>LUIZ ANTONIO ALVES BRANDAO</t>
  </si>
  <si>
    <t>009.719.041-11</t>
  </si>
  <si>
    <t>(61)99955-3065</t>
  </si>
  <si>
    <t>Cabeceiras</t>
  </si>
  <si>
    <t>GERENTE DE AQUISIÇÃO - CHEFE DO TRANSPORTE ESCOLAR</t>
  </si>
  <si>
    <t>janainaricardo.21@gmail.com</t>
  </si>
  <si>
    <t>Janaína Ricardo da Silva</t>
  </si>
  <si>
    <t>012.658.421-40</t>
  </si>
  <si>
    <t>(61)99186-4325</t>
  </si>
  <si>
    <t>Cidade Ocidental</t>
  </si>
  <si>
    <t>Vice-presidente</t>
  </si>
  <si>
    <t>cacsformosa@gmail.com</t>
  </si>
  <si>
    <t>Denilson Marciano Ferreira</t>
  </si>
  <si>
    <t>016.857.731-33</t>
  </si>
  <si>
    <t>(61)99822-8859</t>
  </si>
  <si>
    <t>Presidente</t>
  </si>
  <si>
    <t>ediramjosilva@gmail.com</t>
  </si>
  <si>
    <t>Olizia Alves de Matos Silva</t>
  </si>
  <si>
    <t>024.296.126-66</t>
  </si>
  <si>
    <t>(61)98425-9543</t>
  </si>
  <si>
    <t>Representante dos professores - conselheira</t>
  </si>
  <si>
    <t>coordsilvania@gmail.com</t>
  </si>
  <si>
    <t>Silvania Souza Marins Macedo</t>
  </si>
  <si>
    <t>025.266.481-73</t>
  </si>
  <si>
    <t>(61)99854-1683</t>
  </si>
  <si>
    <t>Água Fria de Goiás</t>
  </si>
  <si>
    <t>francelino16@hotmail.com</t>
  </si>
  <si>
    <t>Francelino Palácio de Morais</t>
  </si>
  <si>
    <t>040.394.641-76</t>
  </si>
  <si>
    <t>(61)99547-0786</t>
  </si>
  <si>
    <t>Novo Gama</t>
  </si>
  <si>
    <t>Diretor do Transporte Escolar</t>
  </si>
  <si>
    <t>FranciscaErickPietro2010@gmail.com</t>
  </si>
  <si>
    <t>Francisca Pereira torcato</t>
  </si>
  <si>
    <t>Franciscaerickpietro2010@gmail.com</t>
  </si>
  <si>
    <t>052.726.111-44</t>
  </si>
  <si>
    <t>(61)99355-8287</t>
  </si>
  <si>
    <t>Conselheira</t>
  </si>
  <si>
    <t>wanderley-wsf@hotmail.com</t>
  </si>
  <si>
    <t>Wanderley Fernando Silva Macedo</t>
  </si>
  <si>
    <t>055.022.931-06</t>
  </si>
  <si>
    <t>(61)99218-7061</t>
  </si>
  <si>
    <t>ASSESSOR (A) DE GABINETE III</t>
  </si>
  <si>
    <t>alinetransporteescolarjussara@gmail.com</t>
  </si>
  <si>
    <t>ALINE BARBOSA DA SILVA FERREIRA</t>
  </si>
  <si>
    <t>alinetrasnporteescolarjussara@gmail.com</t>
  </si>
  <si>
    <t>079.311.789-55</t>
  </si>
  <si>
    <t>(44)99871-5907</t>
  </si>
  <si>
    <t>Jussara - PR</t>
  </si>
  <si>
    <t>Secretária Executiva da Educação.</t>
  </si>
  <si>
    <t>kelledias0@gmail.com</t>
  </si>
  <si>
    <t>Kelle Dias Souto</t>
  </si>
  <si>
    <t>101.604.916-14</t>
  </si>
  <si>
    <t>(61)99915-1756</t>
  </si>
  <si>
    <t>Membro</t>
  </si>
  <si>
    <t>fatimafau3657@gmail.com</t>
  </si>
  <si>
    <t>Maria de fatima alves de sales</t>
  </si>
  <si>
    <t>Fatimafau3657@gmail.com</t>
  </si>
  <si>
    <t>153.850.511-87</t>
  </si>
  <si>
    <t>(61)98682-8267</t>
  </si>
  <si>
    <t>elenicealbano2@gmail.com</t>
  </si>
  <si>
    <t>Maria Elenice Albano Santos</t>
  </si>
  <si>
    <t>199.838.912-04</t>
  </si>
  <si>
    <t>(61)99590-6771</t>
  </si>
  <si>
    <t>niltonfl@yahoo.com.br</t>
  </si>
  <si>
    <t>Nílton Nelson Pereira da Silva</t>
  </si>
  <si>
    <t>294.982.871-04</t>
  </si>
  <si>
    <t>(61)98424-5304</t>
  </si>
  <si>
    <t>Cristalina</t>
  </si>
  <si>
    <t>Coordenador do transporte escolar do município</t>
  </si>
  <si>
    <t>gabinetesme5@gmail.com</t>
  </si>
  <si>
    <t>Maria Rita Ribeiro Guedes Frazão</t>
  </si>
  <si>
    <t>416.360.311-53</t>
  </si>
  <si>
    <t>(61)98592-7624</t>
  </si>
  <si>
    <t>Secretária de Educação</t>
  </si>
  <si>
    <t>rozimeirenogueira@gmail.com</t>
  </si>
  <si>
    <t>ROZIMEIRE DE BARROS NOGUEIRA</t>
  </si>
  <si>
    <t>417.678.021-53</t>
  </si>
  <si>
    <t>(61)99672-0726</t>
  </si>
  <si>
    <t>SECRETÁRIA MUNICIPAL DE EDUCAÇÃO</t>
  </si>
  <si>
    <t>O NOSO SUCESSO É SOMENTE A GARANTIA DO TRANSPORTE DIÁRIO</t>
  </si>
  <si>
    <t>lucietesouza2012@gmail.com</t>
  </si>
  <si>
    <t>Luciete Rosa de Souza</t>
  </si>
  <si>
    <t>471.653.911-34</t>
  </si>
  <si>
    <t>(61)99260-5343</t>
  </si>
  <si>
    <t>Conselheira titular segmento administrativo</t>
  </si>
  <si>
    <t>editeneveslima@gmail.com</t>
  </si>
  <si>
    <t>Edite Neves Lima</t>
  </si>
  <si>
    <t>Editeneveslima@gmail.com</t>
  </si>
  <si>
    <t>473.897.531-53</t>
  </si>
  <si>
    <t>(61)98374-4519</t>
  </si>
  <si>
    <t>Coselheira</t>
  </si>
  <si>
    <t>copaiba1994@gmail.com</t>
  </si>
  <si>
    <t>Jerson Machado</t>
  </si>
  <si>
    <t>476.476.391-53</t>
  </si>
  <si>
    <t>(61)99632-4995</t>
  </si>
  <si>
    <t>Motorista e parte de documentos do departamento</t>
  </si>
  <si>
    <t>Todo o município e atendido com o transporte escolar, média de 4000 alunos transportado diariamente e mais de 13 mil km percorrido por dia entre transporte público e terceirizado</t>
  </si>
  <si>
    <t>edvaldovaldinhonunesamorim@gmail.com</t>
  </si>
  <si>
    <t>Edvaldo Nunes de Amorim</t>
  </si>
  <si>
    <t>516.212.151-72</t>
  </si>
  <si>
    <t>(61)99525-7272</t>
  </si>
  <si>
    <t>COORDENADOR DE TRANSPORTE ESCOLAR</t>
  </si>
  <si>
    <t>wilkapc@gmail.com</t>
  </si>
  <si>
    <t>Wilka de Kássia Pereira Cardoso</t>
  </si>
  <si>
    <t>589.972.101-49</t>
  </si>
  <si>
    <t>(61)99651-9075</t>
  </si>
  <si>
    <t>Secretária Municipal de Educação</t>
  </si>
  <si>
    <t>profgizeledoaee@gmail.com</t>
  </si>
  <si>
    <t>Gizele Rodrigues Soares</t>
  </si>
  <si>
    <t>CPF:  XXX.XXX.XXX-XX</t>
  </si>
  <si>
    <t>618.223.701-59</t>
  </si>
  <si>
    <t>(61)99640-8827</t>
  </si>
  <si>
    <t>Telefone: (DD)XXXXX-XXXX</t>
  </si>
  <si>
    <t>Conselheira suplente</t>
  </si>
  <si>
    <t>transportesmevg@gmai.com</t>
  </si>
  <si>
    <t>Fabiano Galvão de Brito</t>
  </si>
  <si>
    <t>Transportesmevg@gmail.com</t>
  </si>
  <si>
    <t>700.544.521-04</t>
  </si>
  <si>
    <t>E-mail: xxxxxxx@xxxmail.com</t>
  </si>
  <si>
    <t>(61)99556-7427</t>
  </si>
  <si>
    <t>Diretor de Transporte</t>
  </si>
  <si>
    <t>Transporte dos alunos PcDs com veículos da frota oficial</t>
  </si>
  <si>
    <t>Você já está inscrito no Curso de Capacitação em Transporte Escolar?</t>
  </si>
  <si>
    <t>franalcantara02@hotmail.com</t>
  </si>
  <si>
    <t>Franciene de Alcântara Nunes Sousa</t>
  </si>
  <si>
    <t>803.527.821-53</t>
  </si>
  <si>
    <t>(61)98574-5969</t>
  </si>
  <si>
    <t>ercules.medeiros@hotmail.com</t>
  </si>
  <si>
    <t>Sebastão Ercules R. Medeiros</t>
  </si>
  <si>
    <t>830.838.554-00</t>
  </si>
  <si>
    <t>(61)99617-0044</t>
  </si>
  <si>
    <t>Coordenador de Programas Educacionais da Secretaria Municipal de Educação</t>
  </si>
  <si>
    <t>Nada a relatar de momento</t>
  </si>
  <si>
    <t>carlasilverio.silva@gmail.com</t>
  </si>
  <si>
    <t>Carla Silvério da Silva</t>
  </si>
  <si>
    <t>837.722.351-15</t>
  </si>
  <si>
    <t>(61)98475-2438</t>
  </si>
  <si>
    <t>Diretora de Transporte Escolar</t>
  </si>
  <si>
    <t>diolan21@gmail.com</t>
  </si>
  <si>
    <t>Diolan Batista Porto</t>
  </si>
  <si>
    <t>959.175.001-34</t>
  </si>
  <si>
    <t>(61)99908-4050</t>
  </si>
  <si>
    <t>creozanimoreira42@gmail.com</t>
  </si>
  <si>
    <t>Creozani Moreira Da Silva</t>
  </si>
  <si>
    <t>959.503.031-72</t>
  </si>
  <si>
    <t>(61)99662-8016</t>
  </si>
  <si>
    <t>Conselho</t>
  </si>
  <si>
    <t>sousaesilva_125@hotmail.com</t>
  </si>
  <si>
    <t>Patricia Sousa da Silva Matos</t>
  </si>
  <si>
    <t>964.058.211-53</t>
  </si>
  <si>
    <t>(61)98468-8699</t>
  </si>
  <si>
    <t>Superintendente do Fundeb e FME</t>
  </si>
  <si>
    <t>bola.alves@yahoo.com.br</t>
  </si>
  <si>
    <t>Cícero Lopes Alves</t>
  </si>
  <si>
    <t>635.793.321-04</t>
  </si>
  <si>
    <t>(61)99330-3822</t>
  </si>
  <si>
    <t>Alexânia</t>
  </si>
  <si>
    <t>Coordenador de Transporte</t>
  </si>
  <si>
    <t>anayanepereiradesousa@gmail.com</t>
  </si>
  <si>
    <t>Anayane Pereira de Sousa</t>
  </si>
  <si>
    <t>705.495.231-62</t>
  </si>
  <si>
    <t>(62)99557-8844</t>
  </si>
  <si>
    <t>Coordenação de transporte</t>
  </si>
  <si>
    <t>marcosaurelho982@gmail.com</t>
  </si>
  <si>
    <t>Marcos Aurelho de França Viana</t>
  </si>
  <si>
    <t>635.523.101-34</t>
  </si>
  <si>
    <t>(61)99647-2610</t>
  </si>
  <si>
    <t>Técnico de Prestação de Contas da Secretaria Municipal de Educação</t>
  </si>
  <si>
    <t>transporteeducacaocampoalegre@gmail.com</t>
  </si>
  <si>
    <t>Guilania Pereira da Fonseca</t>
  </si>
  <si>
    <t>007.689.631-50</t>
  </si>
  <si>
    <t>(64)99652-6159</t>
  </si>
  <si>
    <t>Campo Alegre de Goiás</t>
  </si>
  <si>
    <t>Coordenador Transporte Escolar</t>
  </si>
  <si>
    <t>Coordenador de transporte</t>
  </si>
  <si>
    <t>A vistoria passou 100%</t>
  </si>
  <si>
    <t>Sim</t>
  </si>
  <si>
    <t>julianabraz10@gmail.com</t>
  </si>
  <si>
    <t>Juliana Silvia Braz</t>
  </si>
  <si>
    <t>007.503.831-51</t>
  </si>
  <si>
    <t>(61)99922-4481</t>
  </si>
  <si>
    <t>Luziânia</t>
  </si>
  <si>
    <t>Agente da Educação</t>
  </si>
  <si>
    <t>rosanambarreto@gmail.com</t>
  </si>
  <si>
    <t>Rosana Mantovani Barreto</t>
  </si>
  <si>
    <t>381.256.251-00</t>
  </si>
  <si>
    <t>(61)99831-0926</t>
  </si>
  <si>
    <t>Diretora da Divisão de Transportes</t>
  </si>
  <si>
    <t>mportela26@hotmail.com</t>
  </si>
  <si>
    <t>Márcia Vieira Portela</t>
  </si>
  <si>
    <t>844.253.931-04</t>
  </si>
  <si>
    <t>(61)98525-8488</t>
  </si>
  <si>
    <t>Assessora da Divisão de Transportes</t>
  </si>
  <si>
    <t>ricardorickdesousa@hotmail.com</t>
  </si>
  <si>
    <t>Ricardo Pereira de Sousa</t>
  </si>
  <si>
    <t>784.099.261-72</t>
  </si>
  <si>
    <t>(61)99616-1556</t>
  </si>
  <si>
    <t>Gestor do Transporte Escolar</t>
  </si>
  <si>
    <t>elianegomesfsa@hotmail.com</t>
  </si>
  <si>
    <t>Eliane Gomes de Melo</t>
  </si>
  <si>
    <t>023.192.371-60</t>
  </si>
  <si>
    <t>(61)99659-8818</t>
  </si>
  <si>
    <t>Técnica de prestação de contas</t>
  </si>
  <si>
    <t>maria.isoares@outlook.com</t>
  </si>
  <si>
    <t>Maria Ivanilda Gomes Soares</t>
  </si>
  <si>
    <t>647.349.431-68</t>
  </si>
  <si>
    <t>(61)99616-2161</t>
  </si>
  <si>
    <t>Mimoso de Goiás</t>
  </si>
  <si>
    <t>darciribeiroescola@gmail.com</t>
  </si>
  <si>
    <t>Jacielma de Sousa Moura</t>
  </si>
  <si>
    <t>730.674.581-68</t>
  </si>
  <si>
    <t>(61)99646-2711</t>
  </si>
  <si>
    <t>Águas Lindas de Goiás</t>
  </si>
  <si>
    <t>guilania_pf@hotmail.com</t>
  </si>
  <si>
    <t>Leandro Tolentino Castro</t>
  </si>
  <si>
    <t>034.430.751-42</t>
  </si>
  <si>
    <t>(64)99969-2700</t>
  </si>
  <si>
    <t>maria.crosant@gmail.com</t>
  </si>
  <si>
    <t>Maria Cristina Oliveira Santos</t>
  </si>
  <si>
    <t>005.739.411-30</t>
  </si>
  <si>
    <t>(61)99984-4299</t>
  </si>
  <si>
    <t>neyanerodrigues@gmail.com</t>
  </si>
  <si>
    <t>Neiane Rodrigues dos Santos</t>
  </si>
  <si>
    <t>Neyanerodrigues@gmail.com</t>
  </si>
  <si>
    <t>729.351.621-53</t>
  </si>
  <si>
    <t>(61)99197-0382</t>
  </si>
  <si>
    <t>Ssuele917@gmail.com</t>
  </si>
  <si>
    <t>MARIA SUELÃNDIA DOS SANTOS</t>
  </si>
  <si>
    <t>014.604.961-67</t>
  </si>
  <si>
    <t>(61)99996-5028</t>
  </si>
  <si>
    <t>Representante do poder executivo municipal</t>
  </si>
  <si>
    <t>educacaosaojoaodalianca@gmail.com</t>
  </si>
  <si>
    <t>JOSE SILVIO ROSA DOS SANTOS</t>
  </si>
  <si>
    <t>968.996.381-34</t>
  </si>
  <si>
    <t>(62)99613-4926</t>
  </si>
  <si>
    <t>São João d'Aliança</t>
  </si>
  <si>
    <t>coordenador de transporte</t>
  </si>
  <si>
    <t>conseguir atender todos os alunos.</t>
  </si>
  <si>
    <t>clauneirafael@gmail.com</t>
  </si>
  <si>
    <t>CLAUNEI RAFAEL LADISLAU</t>
  </si>
  <si>
    <t>358.972.791-87</t>
  </si>
  <si>
    <t>(61)99642-7903</t>
  </si>
  <si>
    <t>SECRETARIO DE FINANÇAS</t>
  </si>
  <si>
    <t>aguiarwania@gmail.com</t>
  </si>
  <si>
    <t>Wania Aguiar</t>
  </si>
  <si>
    <t>957.507.891-87</t>
  </si>
  <si>
    <t>(61)99831-3553</t>
  </si>
  <si>
    <t>Assistente técnica</t>
  </si>
  <si>
    <t>edilaine25ns@gmail.com</t>
  </si>
  <si>
    <t>Edilaine Nunes da Silva</t>
  </si>
  <si>
    <t>Edilaine25ns@gmail.com</t>
  </si>
  <si>
    <t>020.148.371-80</t>
  </si>
  <si>
    <t>(62)99606-5940</t>
  </si>
  <si>
    <t>Conselheira - secretária</t>
  </si>
  <si>
    <t>valdir.jsoares@outlook.com</t>
  </si>
  <si>
    <t>Valdir José Soares</t>
  </si>
  <si>
    <t>577.343.301-00</t>
  </si>
  <si>
    <t>(61)99148-6115</t>
  </si>
  <si>
    <t>Técnico do transporte escolar</t>
  </si>
  <si>
    <t xml:space="preserve">Carla Silvério da Silva </t>
  </si>
  <si>
    <t xml:space="preserve">Rozimeire de Barros Nogueira </t>
  </si>
  <si>
    <t xml:space="preserve">Silvania Souza Marins Macedo </t>
  </si>
  <si>
    <t xml:space="preserve">Ricardo Pereira de Sousa </t>
  </si>
  <si>
    <t>Edite neves lima</t>
  </si>
  <si>
    <t>(61)98384-4519</t>
  </si>
  <si>
    <t xml:space="preserve">Edvaldo Nunes de Amorim </t>
  </si>
  <si>
    <t>Wania Aguiar da Silva</t>
  </si>
  <si>
    <t xml:space="preserve">Luiz Antônio Alves Brandão </t>
  </si>
  <si>
    <t xml:space="preserve">(61)99955-3065 </t>
  </si>
  <si>
    <t>uizinhobrandao@gmail.com</t>
  </si>
  <si>
    <t>Marcos Aurelho de França Viana Nascimento</t>
  </si>
  <si>
    <t xml:space="preserve">Márcia Vieira Portela </t>
  </si>
  <si>
    <t>JULIANA SILVIA BRAZ</t>
  </si>
  <si>
    <t xml:space="preserve">José Silvio Rosa dos Santos </t>
  </si>
  <si>
    <t>(62)99060-5940</t>
  </si>
  <si>
    <t xml:space="preserve">Franciene de Alcântara Nunes Sousa </t>
  </si>
  <si>
    <t xml:space="preserve">(61)98574-5969 </t>
  </si>
  <si>
    <t>franalcantara78@gmail.com</t>
  </si>
  <si>
    <t xml:space="preserve">Nilton Nelson Pereira da Silva </t>
  </si>
  <si>
    <t xml:space="preserve">Guilania Pereira da Fonseca </t>
  </si>
  <si>
    <t xml:space="preserve">Fabiano Galvão de Brito </t>
  </si>
  <si>
    <t>galvao.representacoes19@gmail.com</t>
  </si>
  <si>
    <t xml:space="preserve">Gizele Rodrigues Soares </t>
  </si>
  <si>
    <t xml:space="preserve">Francisca Pereira </t>
  </si>
  <si>
    <t xml:space="preserve">Anayane Pereira de Sousa </t>
  </si>
  <si>
    <t xml:space="preserve">Olízia Alves de Matos Silva </t>
  </si>
  <si>
    <t>ediramjo@gmail.com</t>
  </si>
  <si>
    <t xml:space="preserve">Maria de Fátima Alves de Sales </t>
  </si>
  <si>
    <t xml:space="preserve">Ithamires Alves de Oliveira </t>
  </si>
  <si>
    <t>034.688.963-44</t>
  </si>
  <si>
    <t xml:space="preserve">(61)99137-3101 </t>
  </si>
  <si>
    <t>ithamiresalves8@gmail.com</t>
  </si>
  <si>
    <t>(61) 99137-3101</t>
  </si>
  <si>
    <t>Chefe de Gestão Escolar</t>
  </si>
  <si>
    <t xml:space="preserve">Maria Elenice Albano Santos </t>
  </si>
  <si>
    <t>elenicealbano2@Gmail.co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</si>
</sst>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 hh:mm:ss"/>
    <numFmt numFmtId="165" formatCode="dd/mm/yyyy"/>
    <numFmt numFmtId="166" formatCode="d/m/yyyy hh:mm:ss"/>
    <numFmt numFmtId="167" formatCode="d/m/yyyy"/>
    <numFmt numFmtId="168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7" xfId="0" applyAlignment="1" applyFont="1" applyNumberFormat="1">
      <alignment shrinkToFit="0" vertical="center" wrapText="0"/>
    </xf>
    <xf borderId="0" fillId="0" fontId="1" numFmtId="167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36" displayName="Form_Responses" name="Form_Responses" id="1">
  <autoFilter ref="$A$1:$M$36">
    <filterColumn colId="1">
      <filters>
        <filter val="Ithamires Alves de Oliveira"/>
      </filters>
    </filterColumn>
  </autoFilter>
  <tableColumns count="13">
    <tableColumn name="Carimbo de data/hora" id="1"/>
    <tableColumn name="Nome Completo:" id="2"/>
    <tableColumn name="CPF:  XXX.XXX.XXX-XX" id="3"/>
    <tableColumn name="Telefone: (DD)XXXXX-XXXX" id="4"/>
    <tableColumn name="E-mail: xxxxxxx@xxxmail.com" id="5"/>
    <tableColumn name="Você já está inscrito no Curso de Capacitação em Transporte Escolar?" id="6"/>
    <tableColumn name="Data de Nascimento" id="7"/>
    <tableColumn name="Telefone (XX)XXXXX-XXXX" id="8"/>
    <tableColumn name="Município que representa:" id="9"/>
    <tableColumn name="Você faz parte do:" id="10"/>
    <tableColumn name="Que cargo você ocupa na gestão municipal?" id="11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2"/>
    <tableColumn name="Que cargo você ocupa no CACS-FUNDEB?" id="13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3" width="22.13"/>
    <col customWidth="1" min="4" max="4" width="25.38"/>
    <col customWidth="1" min="5" max="5" width="27.0"/>
    <col customWidth="1" min="6" max="6" width="37.63"/>
    <col customWidth="1" min="7" max="7" width="20.13"/>
    <col customWidth="1" min="8" max="8" width="24.88"/>
    <col customWidth="1" min="9" max="9" width="24.13"/>
    <col customWidth="1" min="10" max="10" width="18.88"/>
    <col customWidth="1" min="11" max="11" width="37.25"/>
    <col customWidth="1" min="12" max="12" width="37.63"/>
    <col customWidth="1" min="13" max="13" width="35.63"/>
    <col customWidth="1" min="14" max="19" width="18.88"/>
  </cols>
  <sheetData>
    <row r="1" ht="22.5" customHeight="1">
      <c r="A1" s="6" t="s">
        <v>0</v>
      </c>
      <c r="B1" s="6" t="s">
        <v>2</v>
      </c>
      <c r="C1" s="6" t="s">
        <v>147</v>
      </c>
      <c r="D1" s="6" t="s">
        <v>150</v>
      </c>
      <c r="E1" s="6" t="s">
        <v>156</v>
      </c>
      <c r="F1" s="6" t="s">
        <v>160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</row>
    <row r="2" ht="22.5" hidden="1" customHeight="1">
      <c r="A2" s="7">
        <v>45987.35404679398</v>
      </c>
      <c r="B2" s="8" t="s">
        <v>181</v>
      </c>
      <c r="C2" s="8" t="s">
        <v>182</v>
      </c>
      <c r="D2" s="8" t="s">
        <v>183</v>
      </c>
      <c r="E2" s="8" t="s">
        <v>180</v>
      </c>
      <c r="F2" s="8" t="s">
        <v>214</v>
      </c>
      <c r="G2" s="9">
        <f>IF(F2="Sim",VLOOKUP(C2,'Inscrições'!$E$1:$N$53,2,FALSE))</f>
        <v>28656</v>
      </c>
      <c r="H2" s="10" t="str">
        <f>IF(F2="Sim",VLOOKUP(C2,'Inscrições'!$E$1:$N$53,3,FALSE))</f>
        <v>(61)99662-8016</v>
      </c>
      <c r="I2" s="10" t="str">
        <f>IF(F2="Sim",VLOOKUP(C2,'Inscrições'!$E$1:$N$53,4,FALSE))</f>
        <v>Água Fria de Goiás</v>
      </c>
      <c r="J2" s="10" t="str">
        <f>IF(F2="Sim",VLOOKUP(C2,'Inscrições'!$E$1:$N$53,5,FALSE))</f>
        <v>CACS-FUNDEB</v>
      </c>
      <c r="K2" s="10" t="str">
        <f>IF(F2="Sim",VLOOKUP(C2,'Inscrições'!$E$1:$N$53,6,FALSE))</f>
        <v/>
      </c>
      <c r="L2" s="10" t="str">
        <f>IF(F2="Sim",VLOOKUP(C2,'Inscrições'!$E$1:$N$53,7,FALSE))</f>
        <v/>
      </c>
      <c r="M2" s="10" t="str">
        <f>IF(F2="Sim",VLOOKUP(C2,'Inscrições'!$E$1:$N$53,8,FALSE))</f>
        <v>Conselho</v>
      </c>
    </row>
    <row r="3" ht="22.5" hidden="1" customHeight="1">
      <c r="A3" s="7">
        <v>45987.355582523145</v>
      </c>
      <c r="B3" s="8" t="s">
        <v>49</v>
      </c>
      <c r="C3" s="8" t="s">
        <v>50</v>
      </c>
      <c r="D3" s="8" t="s">
        <v>51</v>
      </c>
      <c r="E3" s="8" t="s">
        <v>48</v>
      </c>
      <c r="F3" s="8" t="s">
        <v>214</v>
      </c>
      <c r="G3" s="9">
        <f>IF(F3="Sim",VLOOKUP(C3,'Inscrições'!$E$1:$N$53,2,FALSE))</f>
        <v>32326</v>
      </c>
      <c r="H3" s="10" t="str">
        <f>IF(F3="Sim",VLOOKUP(C3,'Inscrições'!$E$1:$N$53,3,FALSE))</f>
        <v>(61)99822-8859</v>
      </c>
      <c r="I3" s="10" t="str">
        <f>IF(F3="Sim",VLOOKUP(C3,'Inscrições'!$E$1:$N$53,4,FALSE))</f>
        <v>Formosa</v>
      </c>
      <c r="J3" s="10" t="str">
        <f>IF(F3="Sim",VLOOKUP(C3,'Inscrições'!$E$1:$N$53,5,FALSE))</f>
        <v>CACS-FUNDEB</v>
      </c>
      <c r="K3" s="10" t="str">
        <f>IF(F3="Sim",VLOOKUP(C3,'Inscrições'!$E$1:$N$53,6,FALSE))</f>
        <v/>
      </c>
      <c r="L3" s="10" t="str">
        <f>IF(F3="Sim",VLOOKUP(C3,'Inscrições'!$E$1:$N$53,7,FALSE))</f>
        <v/>
      </c>
      <c r="M3" s="10" t="str">
        <f>IF(F3="Sim",VLOOKUP(C3,'Inscrições'!$E$1:$N$53,8,FALSE))</f>
        <v>Presidente</v>
      </c>
    </row>
    <row r="4" ht="22.5" hidden="1" customHeight="1">
      <c r="A4" s="7">
        <v>45987.35634138889</v>
      </c>
      <c r="B4" s="8" t="s">
        <v>297</v>
      </c>
      <c r="C4" s="8" t="s">
        <v>173</v>
      </c>
      <c r="D4" s="8" t="s">
        <v>174</v>
      </c>
      <c r="E4" s="8" t="s">
        <v>171</v>
      </c>
      <c r="F4" s="8" t="s">
        <v>214</v>
      </c>
      <c r="G4" s="9">
        <f>IF(F4="Sim",VLOOKUP(C4,'Inscrições'!$E$1:$N$53,2,FALSE))</f>
        <v>28573</v>
      </c>
      <c r="H4" s="10" t="str">
        <f>IF(F4="Sim",VLOOKUP(C4,'Inscrições'!$E$1:$N$53,3,FALSE))</f>
        <v>(61)98475-2438</v>
      </c>
      <c r="I4" s="10" t="str">
        <f>IF(F4="Sim",VLOOKUP(C4,'Inscrições'!$E$1:$N$53,4,FALSE))</f>
        <v>Santo Antônio do Descoberto</v>
      </c>
      <c r="J4" s="10" t="str">
        <f>IF(F4="Sim",VLOOKUP(C4,'Inscrições'!$E$1:$N$53,5,FALSE))</f>
        <v>Gestão municipal</v>
      </c>
      <c r="K4" s="10" t="str">
        <f>IF(F4="Sim",VLOOKUP(C4,'Inscrições'!$E$1:$N$53,6,FALSE))</f>
        <v>Diretora de Transporte Escolar</v>
      </c>
      <c r="L4" s="10" t="str">
        <f>IF(F4="Sim",VLOOKUP(C4,'Inscrições'!$E$1:$N$53,7,FALSE))</f>
        <v/>
      </c>
      <c r="M4" s="10" t="str">
        <f>IF(F4="Sim",VLOOKUP(C4,'Inscrições'!$E$1:$N$53,8,FALSE))</f>
        <v/>
      </c>
    </row>
    <row r="5" ht="22.5" hidden="1" customHeight="1">
      <c r="A5" s="7">
        <v>45987.35647944444</v>
      </c>
      <c r="B5" s="8" t="s">
        <v>298</v>
      </c>
      <c r="C5" s="8" t="s">
        <v>114</v>
      </c>
      <c r="D5" s="8" t="s">
        <v>115</v>
      </c>
      <c r="E5" s="8" t="s">
        <v>112</v>
      </c>
      <c r="F5" s="8" t="s">
        <v>214</v>
      </c>
      <c r="G5" s="9">
        <f>IF(F5="Sim",VLOOKUP(C5,'Inscrições'!$E$1:$N$53,2,FALSE))</f>
        <v>24781</v>
      </c>
      <c r="H5" s="10" t="str">
        <f>IF(F5="Sim",VLOOKUP(C5,'Inscrições'!$E$1:$N$53,3,FALSE))</f>
        <v>(61)99672-0726</v>
      </c>
      <c r="I5" s="10" t="str">
        <f>IF(F5="Sim",VLOOKUP(C5,'Inscrições'!$E$1:$N$53,4,FALSE))</f>
        <v>Água Fria de Goiás</v>
      </c>
      <c r="J5" s="10" t="str">
        <f>IF(F5="Sim",VLOOKUP(C5,'Inscrições'!$E$1:$N$53,5,FALSE))</f>
        <v>Gestão municipal</v>
      </c>
      <c r="K5" s="10" t="str">
        <f>IF(F5="Sim",VLOOKUP(C5,'Inscrições'!$E$1:$N$53,6,FALSE))</f>
        <v>SECRETÁRIA MUNICIPAL DE EDUCAÇÃO</v>
      </c>
      <c r="L5" s="10" t="str">
        <f>IF(F5="Sim",VLOOKUP(C5,'Inscrições'!$E$1:$N$53,7,FALSE))</f>
        <v>O NOSO SUCESSO É SOMENTE A GARANTIA DO TRANSPORTE DIÁRIO</v>
      </c>
      <c r="M5" s="10" t="str">
        <f>IF(F5="Sim",VLOOKUP(C5,'Inscrições'!$E$1:$N$53,8,FALSE))</f>
        <v/>
      </c>
    </row>
    <row r="6" ht="22.5" hidden="1" customHeight="1">
      <c r="A6" s="7">
        <v>45987.356913888885</v>
      </c>
      <c r="B6" s="8" t="s">
        <v>299</v>
      </c>
      <c r="C6" s="8" t="s">
        <v>60</v>
      </c>
      <c r="D6" s="8" t="s">
        <v>61</v>
      </c>
      <c r="E6" s="8" t="s">
        <v>58</v>
      </c>
      <c r="F6" s="8" t="s">
        <v>214</v>
      </c>
      <c r="G6" s="9">
        <f>IF(F6="Sim",VLOOKUP(C6,'Inscrições'!$E$1:$N$53,2,FALSE))</f>
        <v>32359</v>
      </c>
      <c r="H6" s="10" t="str">
        <f>IF(F6="Sim",VLOOKUP(C6,'Inscrições'!$E$1:$N$53,3,FALSE))</f>
        <v>(61)99854-1683</v>
      </c>
      <c r="I6" s="10" t="str">
        <f>IF(F6="Sim",VLOOKUP(C6,'Inscrições'!$E$1:$N$53,4,FALSE))</f>
        <v>Água Fria de Goiás</v>
      </c>
      <c r="J6" s="10" t="str">
        <f>IF(F6="Sim",VLOOKUP(C6,'Inscrições'!$E$1:$N$53,5,FALSE))</f>
        <v>CACS-FUNDEB</v>
      </c>
      <c r="K6" s="10" t="str">
        <f>IF(F6="Sim",VLOOKUP(C6,'Inscrições'!$E$1:$N$53,6,FALSE))</f>
        <v/>
      </c>
      <c r="L6" s="10" t="str">
        <f>IF(F6="Sim",VLOOKUP(C6,'Inscrições'!$E$1:$N$53,7,FALSE))</f>
        <v/>
      </c>
      <c r="M6" s="10" t="str">
        <f>IF(F6="Sim",VLOOKUP(C6,'Inscrições'!$E$1:$N$53,8,FALSE))</f>
        <v>Presidente</v>
      </c>
    </row>
    <row r="7" ht="22.5" hidden="1" customHeight="1">
      <c r="A7" s="7">
        <v>45987.35712888889</v>
      </c>
      <c r="B7" s="8" t="s">
        <v>23</v>
      </c>
      <c r="C7" s="8" t="s">
        <v>24</v>
      </c>
      <c r="D7" s="8" t="s">
        <v>25</v>
      </c>
      <c r="E7" s="8" t="s">
        <v>22</v>
      </c>
      <c r="F7" s="8" t="s">
        <v>214</v>
      </c>
      <c r="G7" s="9">
        <f>IF(F7="Sim",VLOOKUP(C7,'Inscrições'!$E$1:$N$53,2,FALSE))</f>
        <v>30555</v>
      </c>
      <c r="H7" s="10" t="str">
        <f>IF(F7="Sim",VLOOKUP(C7,'Inscrições'!$E$1:$N$53,3,FALSE))</f>
        <v>(61)99427-9449</v>
      </c>
      <c r="I7" s="10" t="str">
        <f>IF(F7="Sim",VLOOKUP(C7,'Inscrições'!$E$1:$N$53,4,FALSE))</f>
        <v>Santo Antônio do Descoberto</v>
      </c>
      <c r="J7" s="10" t="str">
        <f>IF(F7="Sim",VLOOKUP(C7,'Inscrições'!$E$1:$N$53,5,FALSE))</f>
        <v>Gestão municipal</v>
      </c>
      <c r="K7" s="10" t="str">
        <f>IF(F7="Sim",VLOOKUP(C7,'Inscrições'!$E$1:$N$53,6,FALSE))</f>
        <v>Assistente De Transporte Escolar</v>
      </c>
      <c r="L7" s="10" t="str">
        <f>IF(F7="Sim",VLOOKUP(C7,'Inscrições'!$E$1:$N$53,7,FALSE))</f>
        <v>O Transporte Escolar Rural e Urbano vem crescendo com Georeferenciamento de cada aluno, está avançando com identificação do Secretário Da Educação Elismar (Lima Vendedor) e a falta de um Responsável me indicou e deixou com essa responsabilidade aonde estamos construindo um Transporte Escolar com Transparência e Qualidade!</v>
      </c>
      <c r="M7" s="10" t="str">
        <f>IF(F7="Sim",VLOOKUP(C7,'Inscrições'!$E$1:$N$53,8,FALSE))</f>
        <v/>
      </c>
    </row>
    <row r="8" ht="22.5" hidden="1" customHeight="1">
      <c r="A8" s="7">
        <v>45987.357315381945</v>
      </c>
      <c r="B8" s="8" t="s">
        <v>300</v>
      </c>
      <c r="C8" s="8" t="s">
        <v>233</v>
      </c>
      <c r="D8" s="8" t="s">
        <v>234</v>
      </c>
      <c r="E8" s="8" t="s">
        <v>231</v>
      </c>
      <c r="F8" s="8" t="s">
        <v>214</v>
      </c>
      <c r="G8" s="11">
        <f>IF(F8="Sim",VLOOKUP(C8,'Inscrições'!$E$1:$N$53,2,FALSE))</f>
        <v>28105</v>
      </c>
      <c r="H8" s="10" t="str">
        <f>IF(F8="Sim",VLOOKUP(C8,'Inscrições'!$E$1:$N$53,3,FALSE))</f>
        <v>(61)99616-1556</v>
      </c>
      <c r="I8" s="10" t="str">
        <f>IF(F8="Sim",VLOOKUP(C8,'Inscrições'!$E$1:$N$53,4,FALSE))</f>
        <v>Formosa</v>
      </c>
      <c r="J8" s="10" t="str">
        <f>IF(F8="Sim",VLOOKUP(C8,'Inscrições'!$E$1:$N$53,5,FALSE))</f>
        <v>Gestão municipal</v>
      </c>
      <c r="K8" s="10" t="str">
        <f>IF(F8="Sim",VLOOKUP(C8,'Inscrições'!$E$1:$N$53,6,FALSE))</f>
        <v>Gestor do Transporte Escolar</v>
      </c>
      <c r="L8" s="10" t="str">
        <f>IF(F8="Sim",VLOOKUP(C8,'Inscrições'!$E$1:$N$53,7,FALSE))</f>
        <v/>
      </c>
      <c r="M8" s="10" t="str">
        <f>IF(F8="Sim",VLOOKUP(C8,'Inscrições'!$E$1:$N$53,8,FALSE))</f>
        <v/>
      </c>
    </row>
    <row r="9" ht="22.5" hidden="1" customHeight="1">
      <c r="A9" s="7">
        <v>45987.35814877315</v>
      </c>
      <c r="B9" s="8" t="s">
        <v>76</v>
      </c>
      <c r="C9" s="8" t="s">
        <v>77</v>
      </c>
      <c r="D9" s="8" t="s">
        <v>78</v>
      </c>
      <c r="E9" s="8" t="s">
        <v>75</v>
      </c>
      <c r="F9" s="8" t="s">
        <v>214</v>
      </c>
      <c r="G9" s="9">
        <f>IF(F9="Sim",VLOOKUP(C9,'Inscrições'!$E$1:$N$53,2,FALSE))</f>
        <v>34740</v>
      </c>
      <c r="H9" s="10" t="str">
        <f>IF(F9="Sim",VLOOKUP(C9,'Inscrições'!$E$1:$N$53,3,FALSE))</f>
        <v>(61)99218-7061</v>
      </c>
      <c r="I9" s="10" t="str">
        <f>IF(F9="Sim",VLOOKUP(C9,'Inscrições'!$E$1:$N$53,4,FALSE))</f>
        <v>Cidade Ocidental</v>
      </c>
      <c r="J9" s="10" t="str">
        <f>IF(F9="Sim",VLOOKUP(C9,'Inscrições'!$E$1:$N$53,5,FALSE))</f>
        <v>Gestão municipal</v>
      </c>
      <c r="K9" s="10" t="str">
        <f>IF(F9="Sim",VLOOKUP(C9,'Inscrições'!$E$1:$N$53,6,FALSE))</f>
        <v>ASSESSOR (A) DE GABINETE III</v>
      </c>
      <c r="L9" s="10" t="str">
        <f>IF(F9="Sim",VLOOKUP(C9,'Inscrições'!$E$1:$N$53,7,FALSE))</f>
        <v/>
      </c>
      <c r="M9" s="10" t="str">
        <f>IF(F9="Sim",VLOOKUP(C9,'Inscrições'!$E$1:$N$53,8,FALSE))</f>
        <v/>
      </c>
    </row>
    <row r="10" ht="22.5" hidden="1" customHeight="1">
      <c r="A10" s="7">
        <v>45987.35846686343</v>
      </c>
      <c r="B10" s="8" t="s">
        <v>237</v>
      </c>
      <c r="C10" s="8" t="s">
        <v>238</v>
      </c>
      <c r="D10" s="8" t="s">
        <v>239</v>
      </c>
      <c r="E10" s="8" t="s">
        <v>236</v>
      </c>
      <c r="F10" s="8" t="s">
        <v>214</v>
      </c>
      <c r="G10" s="11">
        <f>IF(F10="Sim",VLOOKUP(C10,'Inscrições'!$E$1:$N$53,2,FALSE))</f>
        <v>29934</v>
      </c>
      <c r="H10" s="10" t="str">
        <f>IF(F10="Sim",VLOOKUP(C10,'Inscrições'!$E$1:$N$53,3,FALSE))</f>
        <v>(61)99659-8818</v>
      </c>
      <c r="I10" s="10" t="str">
        <f>IF(F10="Sim",VLOOKUP(C10,'Inscrições'!$E$1:$N$53,4,FALSE))</f>
        <v>Formosa</v>
      </c>
      <c r="J10" s="10" t="str">
        <f>IF(F10="Sim",VLOOKUP(C10,'Inscrições'!$E$1:$N$53,5,FALSE))</f>
        <v>Gestão municipal</v>
      </c>
      <c r="K10" s="10" t="str">
        <f>IF(F10="Sim",VLOOKUP(C10,'Inscrições'!$E$1:$N$53,6,FALSE))</f>
        <v>Técnica de prestação de contas</v>
      </c>
      <c r="L10" s="10" t="str">
        <f>IF(F10="Sim",VLOOKUP(C10,'Inscrições'!$E$1:$N$53,7,FALSE))</f>
        <v/>
      </c>
      <c r="M10" s="10" t="str">
        <f>IF(F10="Sim",VLOOKUP(C10,'Inscrições'!$E$1:$N$53,8,FALSE))</f>
        <v/>
      </c>
    </row>
    <row r="11" ht="22.5" hidden="1" customHeight="1">
      <c r="A11" s="7">
        <v>45987.36272651621</v>
      </c>
      <c r="B11" s="8" t="s">
        <v>301</v>
      </c>
      <c r="C11" s="8" t="s">
        <v>126</v>
      </c>
      <c r="D11" s="8" t="s">
        <v>302</v>
      </c>
      <c r="E11" s="8" t="s">
        <v>125</v>
      </c>
      <c r="F11" s="8" t="s">
        <v>214</v>
      </c>
      <c r="G11" s="9">
        <f>IF(F11="Sim",VLOOKUP(C11,'Inscrições'!$E$1:$N$53,2,FALSE))</f>
        <v>25246</v>
      </c>
      <c r="H11" s="10" t="str">
        <f>IF(F11="Sim",VLOOKUP(C11,'Inscrições'!$E$1:$N$53,3,FALSE))</f>
        <v>(61)98374-4519</v>
      </c>
      <c r="I11" s="10" t="str">
        <f>IF(F11="Sim",VLOOKUP(C11,'Inscrições'!$E$1:$N$53,4,FALSE))</f>
        <v>Cidade Ocidental</v>
      </c>
      <c r="J11" s="10" t="str">
        <f>IF(F11="Sim",VLOOKUP(C11,'Inscrições'!$E$1:$N$53,5,FALSE))</f>
        <v>CACS-FUNDEB</v>
      </c>
      <c r="K11" s="10" t="str">
        <f>IF(F11="Sim",VLOOKUP(C11,'Inscrições'!$E$1:$N$53,6,FALSE))</f>
        <v/>
      </c>
      <c r="L11" s="10" t="str">
        <f>IF(F11="Sim",VLOOKUP(C11,'Inscrições'!$E$1:$N$53,7,FALSE))</f>
        <v/>
      </c>
      <c r="M11" s="10" t="str">
        <f>IF(F11="Sim",VLOOKUP(C11,'Inscrições'!$E$1:$N$53,8,FALSE))</f>
        <v>Coselheira</v>
      </c>
    </row>
    <row r="12" ht="22.5" hidden="1" customHeight="1">
      <c r="A12" s="7">
        <v>45987.36332587963</v>
      </c>
      <c r="B12" s="8" t="s">
        <v>303</v>
      </c>
      <c r="C12" s="8" t="s">
        <v>137</v>
      </c>
      <c r="D12" s="8" t="s">
        <v>138</v>
      </c>
      <c r="E12" s="8" t="s">
        <v>135</v>
      </c>
      <c r="F12" s="8" t="s">
        <v>214</v>
      </c>
      <c r="G12" s="11">
        <f>IF(F12="Sim",VLOOKUP(C12,'Inscrições'!$E$1:$N$53,2,FALSE))</f>
        <v>25890</v>
      </c>
      <c r="H12" s="10" t="str">
        <f>IF(F12="Sim",VLOOKUP(C12,'Inscrições'!$E$1:$N$53,3,FALSE))</f>
        <v>(61)99525-7272</v>
      </c>
      <c r="I12" s="10" t="str">
        <f>IF(F12="Sim",VLOOKUP(C12,'Inscrições'!$E$1:$N$53,4,FALSE))</f>
        <v>Cidade Ocidental</v>
      </c>
      <c r="J12" s="10" t="str">
        <f>IF(F12="Sim",VLOOKUP(C12,'Inscrições'!$E$1:$N$53,5,FALSE))</f>
        <v>Gestão municipal</v>
      </c>
      <c r="K12" s="10" t="str">
        <f>IF(F12="Sim",VLOOKUP(C12,'Inscrições'!$E$1:$N$53,6,FALSE))</f>
        <v>COORDENADOR DE TRANSPORTE ESCOLAR</v>
      </c>
      <c r="L12" s="10" t="str">
        <f>IF(F12="Sim",VLOOKUP(C12,'Inscrições'!$E$1:$N$53,7,FALSE))</f>
        <v/>
      </c>
      <c r="M12" s="10" t="str">
        <f>IF(F12="Sim",VLOOKUP(C12,'Inscrições'!$E$1:$N$53,8,FALSE))</f>
        <v/>
      </c>
    </row>
    <row r="13" ht="22.5" hidden="1" customHeight="1">
      <c r="A13" s="7">
        <v>45987.36561743055</v>
      </c>
      <c r="B13" s="8" t="s">
        <v>304</v>
      </c>
      <c r="C13" s="8" t="s">
        <v>283</v>
      </c>
      <c r="D13" s="8" t="s">
        <v>284</v>
      </c>
      <c r="E13" s="8" t="s">
        <v>281</v>
      </c>
      <c r="F13" s="8" t="s">
        <v>214</v>
      </c>
      <c r="G13" s="11">
        <f>IF(F13="Sim",VLOOKUP(C13,'Inscrições'!$E$1:$N$53,2,FALSE))</f>
        <v>29945</v>
      </c>
      <c r="H13" s="10" t="str">
        <f>IF(F13="Sim",VLOOKUP(C13,'Inscrições'!$E$1:$N$53,3,FALSE))</f>
        <v>(61)99831-3553</v>
      </c>
      <c r="I13" s="10" t="str">
        <f>IF(F13="Sim",VLOOKUP(C13,'Inscrições'!$E$1:$N$53,4,FALSE))</f>
        <v>Cabeceiras</v>
      </c>
      <c r="J13" s="10" t="str">
        <f>IF(F13="Sim",VLOOKUP(C13,'Inscrições'!$E$1:$N$53,5,FALSE))</f>
        <v>CACS-FUNDEB</v>
      </c>
      <c r="K13" s="10" t="str">
        <f>IF(F13="Sim",VLOOKUP(C13,'Inscrições'!$E$1:$N$53,6,FALSE))</f>
        <v/>
      </c>
      <c r="L13" s="10" t="str">
        <f>IF(F13="Sim",VLOOKUP(C13,'Inscrições'!$E$1:$N$53,7,FALSE))</f>
        <v/>
      </c>
      <c r="M13" s="10" t="str">
        <f>IF(F13="Sim",VLOOKUP(C13,'Inscrições'!$E$1:$N$53,8,FALSE))</f>
        <v>Assistente técnica</v>
      </c>
    </row>
    <row r="14" ht="22.5" hidden="1" customHeight="1">
      <c r="A14" s="7">
        <v>45987.367325127314</v>
      </c>
      <c r="B14" s="8" t="s">
        <v>305</v>
      </c>
      <c r="C14" s="8" t="s">
        <v>38</v>
      </c>
      <c r="D14" s="8" t="s">
        <v>306</v>
      </c>
      <c r="E14" s="8" t="s">
        <v>307</v>
      </c>
      <c r="F14" s="8" t="s">
        <v>214</v>
      </c>
      <c r="G14" s="9">
        <f>IF(F14="Sim",VLOOKUP(C14,'Inscrições'!$E$1:$N$53,2,FALSE))</f>
        <v>31577</v>
      </c>
      <c r="H14" s="10" t="str">
        <f>IF(F14="Sim",VLOOKUP(C14,'Inscrições'!$E$1:$N$53,3,FALSE))</f>
        <v>(61)99955-3065</v>
      </c>
      <c r="I14" s="10" t="str">
        <f>IF(F14="Sim",VLOOKUP(C14,'Inscrições'!$E$1:$N$53,4,FALSE))</f>
        <v>Cabeceiras</v>
      </c>
      <c r="J14" s="10" t="str">
        <f>IF(F14="Sim",VLOOKUP(C14,'Inscrições'!$E$1:$N$53,5,FALSE))</f>
        <v>Gestão municipal</v>
      </c>
      <c r="K14" s="10" t="str">
        <f>IF(F14="Sim",VLOOKUP(C14,'Inscrições'!$E$1:$N$53,6,FALSE))</f>
        <v>GERENTE DE AQUISIÇÃO - CHEFE DO TRANSPORTE ESCOLAR</v>
      </c>
      <c r="L14" s="10" t="str">
        <f>IF(F14="Sim",VLOOKUP(C14,'Inscrições'!$E$1:$N$53,7,FALSE))</f>
        <v/>
      </c>
      <c r="M14" s="10" t="str">
        <f>IF(F14="Sim",VLOOKUP(C14,'Inscrições'!$E$1:$N$53,8,FALSE))</f>
        <v/>
      </c>
    </row>
    <row r="15" ht="22.5" hidden="1" customHeight="1">
      <c r="A15" s="7">
        <v>45987.369715416666</v>
      </c>
      <c r="B15" s="8" t="s">
        <v>308</v>
      </c>
      <c r="C15" s="8" t="s">
        <v>203</v>
      </c>
      <c r="D15" s="8" t="s">
        <v>204</v>
      </c>
      <c r="E15" s="8" t="s">
        <v>201</v>
      </c>
      <c r="F15" s="8" t="s">
        <v>214</v>
      </c>
      <c r="G15" s="9">
        <f>IF(F15="Sim",VLOOKUP(C15,'Inscrições'!$E$1:$N$53,2,FALSE))</f>
        <v>27063</v>
      </c>
      <c r="H15" s="10" t="str">
        <f>IF(F15="Sim",VLOOKUP(C15,'Inscrições'!$E$1:$N$53,3,FALSE))</f>
        <v>(61)99647-2610</v>
      </c>
      <c r="I15" s="10" t="str">
        <f>IF(F15="Sim",VLOOKUP(C15,'Inscrições'!$E$1:$N$53,4,FALSE))</f>
        <v>Cabeceiras</v>
      </c>
      <c r="J15" s="10" t="str">
        <f>IF(F15="Sim",VLOOKUP(C15,'Inscrições'!$E$1:$N$53,5,FALSE))</f>
        <v>Gestão municipal</v>
      </c>
      <c r="K15" s="10" t="str">
        <f>IF(F15="Sim",VLOOKUP(C15,'Inscrições'!$E$1:$N$53,6,FALSE))</f>
        <v>Técnico de Prestação de Contas da Secretaria Municipal de Educação</v>
      </c>
      <c r="L15" s="10" t="str">
        <f>IF(F15="Sim",VLOOKUP(C15,'Inscrições'!$E$1:$N$53,7,FALSE))</f>
        <v/>
      </c>
      <c r="M15" s="10" t="str">
        <f>IF(F15="Sim",VLOOKUP(C15,'Inscrições'!$E$1:$N$53,8,FALSE))</f>
        <v/>
      </c>
    </row>
    <row r="16" ht="22.5" hidden="1" customHeight="1">
      <c r="A16" s="7">
        <v>45987.38175878472</v>
      </c>
      <c r="B16" s="8" t="s">
        <v>222</v>
      </c>
      <c r="C16" s="8" t="s">
        <v>223</v>
      </c>
      <c r="D16" s="8" t="s">
        <v>224</v>
      </c>
      <c r="E16" s="8" t="s">
        <v>221</v>
      </c>
      <c r="F16" s="8" t="s">
        <v>214</v>
      </c>
      <c r="G16" s="9">
        <f>IF(F16="Sim",VLOOKUP(C16,'Inscrições'!$E$1:$N$53,2,FALSE))</f>
        <v>24275</v>
      </c>
      <c r="H16" s="10" t="str">
        <f>IF(F16="Sim",VLOOKUP(C16,'Inscrições'!$E$1:$N$53,3,FALSE))</f>
        <v>(61)99831-0926</v>
      </c>
      <c r="I16" s="10" t="str">
        <f>IF(F16="Sim",VLOOKUP(C16,'Inscrições'!$E$1:$N$53,4,FALSE))</f>
        <v>Luziânia</v>
      </c>
      <c r="J16" s="10" t="str">
        <f>IF(F16="Sim",VLOOKUP(C16,'Inscrições'!$E$1:$N$53,5,FALSE))</f>
        <v>Gestão municipal</v>
      </c>
      <c r="K16" s="10" t="str">
        <f>IF(F16="Sim",VLOOKUP(C16,'Inscrições'!$E$1:$N$53,6,FALSE))</f>
        <v>Diretora da Divisão de Transportes</v>
      </c>
      <c r="L16" s="10" t="str">
        <f>IF(F16="Sim",VLOOKUP(C16,'Inscrições'!$E$1:$N$53,7,FALSE))</f>
        <v/>
      </c>
      <c r="M16" s="10" t="str">
        <f>IF(F16="Sim",VLOOKUP(C16,'Inscrições'!$E$1:$N$53,8,FALSE))</f>
        <v/>
      </c>
    </row>
    <row r="17" ht="22.5" hidden="1" customHeight="1">
      <c r="A17" s="7">
        <v>45987.38186689815</v>
      </c>
      <c r="B17" s="8" t="s">
        <v>309</v>
      </c>
      <c r="C17" s="8" t="s">
        <v>228</v>
      </c>
      <c r="D17" s="8" t="s">
        <v>229</v>
      </c>
      <c r="E17" s="8" t="s">
        <v>226</v>
      </c>
      <c r="F17" s="8" t="s">
        <v>214</v>
      </c>
      <c r="G17" s="9">
        <f>IF(F17="Sim",VLOOKUP(C17,'Inscrições'!$E$1:$N$53,2,FALSE))</f>
        <v>28667</v>
      </c>
      <c r="H17" s="10" t="str">
        <f>IF(F17="Sim",VLOOKUP(C17,'Inscrições'!$E$1:$N$53,3,FALSE))</f>
        <v>(61)98525-8488</v>
      </c>
      <c r="I17" s="10" t="str">
        <f>IF(F17="Sim",VLOOKUP(C17,'Inscrições'!$E$1:$N$53,4,FALSE))</f>
        <v>Luziânia</v>
      </c>
      <c r="J17" s="10" t="str">
        <f>IF(F17="Sim",VLOOKUP(C17,'Inscrições'!$E$1:$N$53,5,FALSE))</f>
        <v>Gestão municipal</v>
      </c>
      <c r="K17" s="10" t="str">
        <f>IF(F17="Sim",VLOOKUP(C17,'Inscrições'!$E$1:$N$53,6,FALSE))</f>
        <v>Assessora da Divisão de Transportes</v>
      </c>
      <c r="L17" s="10" t="str">
        <f>IF(F17="Sim",VLOOKUP(C17,'Inscrições'!$E$1:$N$53,7,FALSE))</f>
        <v/>
      </c>
      <c r="M17" s="10" t="str">
        <f>IF(F17="Sim",VLOOKUP(C17,'Inscrições'!$E$1:$N$53,8,FALSE))</f>
        <v/>
      </c>
    </row>
    <row r="18" ht="22.5" hidden="1" customHeight="1">
      <c r="A18" s="7">
        <v>45987.384382476856</v>
      </c>
      <c r="B18" s="8" t="s">
        <v>310</v>
      </c>
      <c r="C18" s="8" t="s">
        <v>217</v>
      </c>
      <c r="D18" s="8" t="s">
        <v>218</v>
      </c>
      <c r="E18" s="8" t="s">
        <v>215</v>
      </c>
      <c r="F18" s="8" t="s">
        <v>214</v>
      </c>
      <c r="G18" s="9">
        <f>IF(F18="Sim",VLOOKUP(C18,'Inscrições'!$E$1:$N$53,2,FALSE))</f>
        <v>30802</v>
      </c>
      <c r="H18" s="10" t="str">
        <f>IF(F18="Sim",VLOOKUP(C18,'Inscrições'!$E$1:$N$53,3,FALSE))</f>
        <v>(61)99922-4481</v>
      </c>
      <c r="I18" s="10" t="str">
        <f>IF(F18="Sim",VLOOKUP(C18,'Inscrições'!$E$1:$N$53,4,FALSE))</f>
        <v>Luziânia</v>
      </c>
      <c r="J18" s="10" t="str">
        <f>IF(F18="Sim",VLOOKUP(C18,'Inscrições'!$E$1:$N$53,5,FALSE))</f>
        <v>Gestão municipal</v>
      </c>
      <c r="K18" s="10" t="str">
        <f>IF(F18="Sim",VLOOKUP(C18,'Inscrições'!$E$1:$N$53,6,FALSE))</f>
        <v>Agente da Educação</v>
      </c>
      <c r="L18" s="10" t="str">
        <f>IF(F18="Sim",VLOOKUP(C18,'Inscrições'!$E$1:$N$53,7,FALSE))</f>
        <v/>
      </c>
      <c r="M18" s="10" t="str">
        <f>IF(F18="Sim",VLOOKUP(C18,'Inscrições'!$E$1:$N$53,8,FALSE))</f>
        <v/>
      </c>
    </row>
    <row r="19" ht="22.5" hidden="1" customHeight="1">
      <c r="A19" s="7">
        <v>45987.389700451386</v>
      </c>
      <c r="B19" s="8" t="s">
        <v>311</v>
      </c>
      <c r="C19" s="8" t="s">
        <v>271</v>
      </c>
      <c r="D19" s="8" t="s">
        <v>272</v>
      </c>
      <c r="E19" s="8" t="s">
        <v>269</v>
      </c>
      <c r="F19" s="8" t="s">
        <v>214</v>
      </c>
      <c r="G19" s="9">
        <f>IF(F19="Sim",VLOOKUP(C19,'Inscrições'!$E$1:$N$53,2,FALSE))</f>
        <v>30189</v>
      </c>
      <c r="H19" s="10" t="str">
        <f>IF(F19="Sim",VLOOKUP(C19,'Inscrições'!$E$1:$N$53,3,FALSE))</f>
        <v>(62)99613-4926</v>
      </c>
      <c r="I19" s="10" t="str">
        <f>IF(F19="Sim",VLOOKUP(C19,'Inscrições'!$E$1:$N$53,4,FALSE))</f>
        <v>São João d'Aliança</v>
      </c>
      <c r="J19" s="10" t="str">
        <f>IF(F19="Sim",VLOOKUP(C19,'Inscrições'!$E$1:$N$53,5,FALSE))</f>
        <v>Gestão municipal</v>
      </c>
      <c r="K19" s="10" t="str">
        <f>IF(F19="Sim",VLOOKUP(C19,'Inscrições'!$E$1:$N$53,6,FALSE))</f>
        <v>coordenador de transporte</v>
      </c>
      <c r="L19" s="10" t="str">
        <f>IF(F19="Sim",VLOOKUP(C19,'Inscrições'!$E$1:$N$53,7,FALSE))</f>
        <v>conseguir atender todos os alunos.</v>
      </c>
      <c r="M19" s="10" t="str">
        <f>IF(F19="Sim",VLOOKUP(C19,'Inscrições'!$E$1:$N$53,8,FALSE))</f>
        <v/>
      </c>
    </row>
    <row r="20" ht="22.5" hidden="1" customHeight="1">
      <c r="A20" s="7">
        <v>45987.390046817134</v>
      </c>
      <c r="B20" s="8" t="s">
        <v>287</v>
      </c>
      <c r="C20" s="8" t="s">
        <v>289</v>
      </c>
      <c r="D20" s="8" t="s">
        <v>312</v>
      </c>
      <c r="E20" s="8" t="s">
        <v>288</v>
      </c>
      <c r="F20" s="8" t="s">
        <v>214</v>
      </c>
      <c r="G20" s="9">
        <f>IF(F20="Sim",VLOOKUP(C20,'Inscrições'!$E$1:$N$53,2,FALSE))</f>
        <v>32299</v>
      </c>
      <c r="H20" s="10" t="str">
        <f>IF(F20="Sim",VLOOKUP(C20,'Inscrições'!$E$1:$N$53,3,FALSE))</f>
        <v>(62)99606-5940</v>
      </c>
      <c r="I20" s="10" t="str">
        <f>IF(F20="Sim",VLOOKUP(C20,'Inscrições'!$E$1:$N$53,4,FALSE))</f>
        <v>São João d'Aliança</v>
      </c>
      <c r="J20" s="10" t="str">
        <f>IF(F20="Sim",VLOOKUP(C20,'Inscrições'!$E$1:$N$53,5,FALSE))</f>
        <v>CACS-FUNDEB</v>
      </c>
      <c r="K20" s="10" t="str">
        <f>IF(F20="Sim",VLOOKUP(C20,'Inscrições'!$E$1:$N$53,6,FALSE))</f>
        <v/>
      </c>
      <c r="L20" s="10" t="str">
        <f>IF(F20="Sim",VLOOKUP(C20,'Inscrições'!$E$1:$N$53,7,FALSE))</f>
        <v/>
      </c>
      <c r="M20" s="10" t="str">
        <f>IF(F20="Sim",VLOOKUP(C20,'Inscrições'!$E$1:$N$53,8,FALSE))</f>
        <v>Conselheira - secretária</v>
      </c>
    </row>
    <row r="21" ht="22.5" hidden="1" customHeight="1">
      <c r="A21" s="7">
        <v>45987.394592743054</v>
      </c>
      <c r="B21" s="8" t="s">
        <v>313</v>
      </c>
      <c r="C21" s="8" t="s">
        <v>163</v>
      </c>
      <c r="D21" s="8" t="s">
        <v>314</v>
      </c>
      <c r="E21" s="8" t="s">
        <v>315</v>
      </c>
      <c r="F21" s="8" t="s">
        <v>214</v>
      </c>
      <c r="G21" s="9">
        <f>IF(F21="Sim",VLOOKUP(C21,'Inscrições'!$E$1:$N$53,2,FALSE))</f>
        <v>28642</v>
      </c>
      <c r="H21" s="10" t="str">
        <f>IF(F21="Sim",VLOOKUP(C21,'Inscrições'!$E$1:$N$53,3,FALSE))</f>
        <v>(61)98574-5969</v>
      </c>
      <c r="I21" s="10" t="str">
        <f>IF(F21="Sim",VLOOKUP(C21,'Inscrições'!$E$1:$N$53,4,FALSE))</f>
        <v>Cristalina</v>
      </c>
      <c r="J21" s="10" t="str">
        <f>IF(F21="Sim",VLOOKUP(C21,'Inscrições'!$E$1:$N$53,5,FALSE))</f>
        <v>CACS-FUNDEB</v>
      </c>
      <c r="K21" s="10" t="str">
        <f>IF(F21="Sim",VLOOKUP(C21,'Inscrições'!$E$1:$N$53,6,FALSE))</f>
        <v/>
      </c>
      <c r="L21" s="10" t="str">
        <f>IF(F21="Sim",VLOOKUP(C21,'Inscrições'!$E$1:$N$53,7,FALSE))</f>
        <v/>
      </c>
      <c r="M21" s="10" t="str">
        <f>IF(F21="Sim",VLOOKUP(C21,'Inscrições'!$E$1:$N$53,8,FALSE))</f>
        <v>Conselheira</v>
      </c>
    </row>
    <row r="22" ht="22.5" hidden="1" customHeight="1">
      <c r="A22" s="7">
        <v>45987.39482847222</v>
      </c>
      <c r="B22" s="8" t="s">
        <v>316</v>
      </c>
      <c r="C22" s="8" t="s">
        <v>103</v>
      </c>
      <c r="D22" s="8" t="s">
        <v>104</v>
      </c>
      <c r="E22" s="8" t="s">
        <v>101</v>
      </c>
      <c r="F22" s="8" t="s">
        <v>214</v>
      </c>
      <c r="G22" s="9">
        <f>IF(F22="Sim",VLOOKUP(C22,'Inscrições'!$E$1:$N$53,2,FALSE))</f>
        <v>23409</v>
      </c>
      <c r="H22" s="10" t="str">
        <f>IF(F22="Sim",VLOOKUP(C22,'Inscrições'!$E$1:$N$53,3,FALSE))</f>
        <v>(61)98424-5304</v>
      </c>
      <c r="I22" s="10" t="str">
        <f>IF(F22="Sim",VLOOKUP(C22,'Inscrições'!$E$1:$N$53,4,FALSE))</f>
        <v>Cristalina</v>
      </c>
      <c r="J22" s="10" t="str">
        <f>IF(F22="Sim",VLOOKUP(C22,'Inscrições'!$E$1:$N$53,5,FALSE))</f>
        <v>Gestão municipal</v>
      </c>
      <c r="K22" s="10" t="str">
        <f>IF(F22="Sim",VLOOKUP(C22,'Inscrições'!$E$1:$N$53,6,FALSE))</f>
        <v>Coordenador do transporte escolar do município</v>
      </c>
      <c r="L22" s="10" t="str">
        <f>IF(F22="Sim",VLOOKUP(C22,'Inscrições'!$E$1:$N$53,7,FALSE))</f>
        <v/>
      </c>
      <c r="M22" s="10" t="str">
        <f>IF(F22="Sim",VLOOKUP(C22,'Inscrições'!$E$1:$N$53,8,FALSE))</f>
        <v/>
      </c>
    </row>
    <row r="23" ht="22.5" hidden="1" customHeight="1">
      <c r="A23" s="7">
        <v>45987.39555637732</v>
      </c>
      <c r="B23" s="8" t="s">
        <v>130</v>
      </c>
      <c r="C23" s="8" t="s">
        <v>131</v>
      </c>
      <c r="D23" s="8" t="s">
        <v>132</v>
      </c>
      <c r="E23" s="8" t="s">
        <v>129</v>
      </c>
      <c r="F23" s="8" t="s">
        <v>214</v>
      </c>
      <c r="G23" s="11">
        <f>IF(F23="Sim",VLOOKUP(C23,'Inscrições'!$E$1:$N$53,2,FALSE))</f>
        <v>25558</v>
      </c>
      <c r="H23" s="10" t="str">
        <f>IF(F23="Sim",VLOOKUP(C23,'Inscrições'!$E$1:$N$53,3,FALSE))</f>
        <v>(61)99632-4995</v>
      </c>
      <c r="I23" s="10" t="str">
        <f>IF(F23="Sim",VLOOKUP(C23,'Inscrições'!$E$1:$N$53,4,FALSE))</f>
        <v>Cristalina</v>
      </c>
      <c r="J23" s="10" t="str">
        <f>IF(F23="Sim",VLOOKUP(C23,'Inscrições'!$E$1:$N$53,5,FALSE))</f>
        <v>Gestão municipal</v>
      </c>
      <c r="K23" s="10" t="str">
        <f>IF(F23="Sim",VLOOKUP(C23,'Inscrições'!$E$1:$N$53,6,FALSE))</f>
        <v>Motorista e parte de documentos do departamento</v>
      </c>
      <c r="L23" s="10" t="str">
        <f>IF(F23="Sim",VLOOKUP(C23,'Inscrições'!$E$1:$N$53,7,FALSE))</f>
        <v>Todo o município e atendido com o transporte escolar, média de 4000 alunos transportado diariamente e mais de 13 mil km percorrido por dia entre transporte público e terceirizado</v>
      </c>
      <c r="M23" s="10" t="str">
        <f>IF(F23="Sim",VLOOKUP(C23,'Inscrições'!$E$1:$N$53,8,FALSE))</f>
        <v/>
      </c>
    </row>
    <row r="24" ht="22.5" hidden="1" customHeight="1">
      <c r="A24" s="7">
        <v>45987.39912877315</v>
      </c>
      <c r="B24" s="8" t="s">
        <v>317</v>
      </c>
      <c r="C24" s="8" t="s">
        <v>208</v>
      </c>
      <c r="D24" s="8" t="s">
        <v>209</v>
      </c>
      <c r="E24" s="8" t="s">
        <v>206</v>
      </c>
      <c r="F24" s="8" t="s">
        <v>214</v>
      </c>
      <c r="G24" s="9">
        <f>IF(F24="Sim",VLOOKUP(C24,'Inscrições'!$E$1:$N$53,2,FALSE))</f>
        <v>31090</v>
      </c>
      <c r="H24" s="10" t="str">
        <f>IF(F24="Sim",VLOOKUP(C24,'Inscrições'!$E$1:$N$53,3,FALSE))</f>
        <v>(64)99652-6159</v>
      </c>
      <c r="I24" s="10" t="str">
        <f>IF(F24="Sim",VLOOKUP(C24,'Inscrições'!$E$1:$N$53,4,FALSE))</f>
        <v>Campo Alegre de Goiás</v>
      </c>
      <c r="J24" s="10" t="str">
        <f>IF(F24="Sim",VLOOKUP(C24,'Inscrições'!$E$1:$N$53,5,FALSE))</f>
        <v>Gestão municipal</v>
      </c>
      <c r="K24" s="10" t="str">
        <f>IF(F24="Sim",VLOOKUP(C24,'Inscrições'!$E$1:$N$53,6,FALSE))</f>
        <v>Coordenador Transporte Escolar</v>
      </c>
      <c r="L24" s="10" t="str">
        <f>IF(F24="Sim",VLOOKUP(C24,'Inscrições'!$E$1:$N$53,7,FALSE))</f>
        <v/>
      </c>
      <c r="M24" s="10" t="str">
        <f>IF(F24="Sim",VLOOKUP(C24,'Inscrições'!$E$1:$N$53,8,FALSE))</f>
        <v/>
      </c>
    </row>
    <row r="25" ht="22.5" hidden="1" customHeight="1">
      <c r="A25" s="7">
        <v>45987.435302881946</v>
      </c>
      <c r="B25" s="8" t="s">
        <v>318</v>
      </c>
      <c r="C25" s="8" t="s">
        <v>155</v>
      </c>
      <c r="D25" s="8" t="s">
        <v>157</v>
      </c>
      <c r="E25" s="8" t="s">
        <v>319</v>
      </c>
      <c r="F25" s="8" t="s">
        <v>214</v>
      </c>
      <c r="G25" s="9">
        <f>IF(F25="Sim",VLOOKUP(C25,'Inscrições'!$E$1:$N$53,2,FALSE))</f>
        <v>29532</v>
      </c>
      <c r="H25" s="10" t="str">
        <f>IF(F25="Sim",VLOOKUP(C25,'Inscrições'!$E$1:$N$53,3,FALSE))</f>
        <v>(61)99556-7427</v>
      </c>
      <c r="I25" s="10" t="str">
        <f>IF(F25="Sim",VLOOKUP(C25,'Inscrições'!$E$1:$N$53,4,FALSE))</f>
        <v>Valparaíso de Goiás</v>
      </c>
      <c r="J25" s="10" t="str">
        <f>IF(F25="Sim",VLOOKUP(C25,'Inscrições'!$E$1:$N$53,5,FALSE))</f>
        <v>Gestão municipal</v>
      </c>
      <c r="K25" s="10" t="str">
        <f>IF(F25="Sim",VLOOKUP(C25,'Inscrições'!$E$1:$N$53,6,FALSE))</f>
        <v>Diretor de Transporte</v>
      </c>
      <c r="L25" s="10" t="str">
        <f>IF(F25="Sim",VLOOKUP(C25,'Inscrições'!$E$1:$N$53,7,FALSE))</f>
        <v>Transporte dos alunos PcDs com veículos da frota oficial</v>
      </c>
      <c r="M25" s="10" t="str">
        <f>IF(F25="Sim",VLOOKUP(C25,'Inscrições'!$E$1:$N$53,8,FALSE))</f>
        <v/>
      </c>
    </row>
    <row r="26" ht="22.5" hidden="1" customHeight="1">
      <c r="A26" s="7">
        <v>45987.436798055554</v>
      </c>
      <c r="B26" s="8" t="s">
        <v>320</v>
      </c>
      <c r="C26" s="8" t="s">
        <v>148</v>
      </c>
      <c r="D26" s="8" t="s">
        <v>149</v>
      </c>
      <c r="E26" s="8" t="s">
        <v>145</v>
      </c>
      <c r="F26" s="8" t="s">
        <v>214</v>
      </c>
      <c r="G26" s="9">
        <f>IF(F26="Sim",VLOOKUP(C26,'Inscrições'!$E$1:$N$53,2,FALSE))</f>
        <v>28496</v>
      </c>
      <c r="H26" s="10" t="str">
        <f>IF(F26="Sim",VLOOKUP(C26,'Inscrições'!$E$1:$N$53,3,FALSE))</f>
        <v>(61)99640-8827</v>
      </c>
      <c r="I26" s="10" t="str">
        <f>IF(F26="Sim",VLOOKUP(C26,'Inscrições'!$E$1:$N$53,4,FALSE))</f>
        <v>Valparaíso de Goiás</v>
      </c>
      <c r="J26" s="10" t="str">
        <f>IF(F26="Sim",VLOOKUP(C26,'Inscrições'!$E$1:$N$53,5,FALSE))</f>
        <v>CACS-FUNDEB</v>
      </c>
      <c r="K26" s="10" t="str">
        <f>IF(F26="Sim",VLOOKUP(C26,'Inscrições'!$E$1:$N$53,6,FALSE))</f>
        <v/>
      </c>
      <c r="L26" s="10" t="str">
        <f>IF(F26="Sim",VLOOKUP(C26,'Inscrições'!$E$1:$N$53,7,FALSE))</f>
        <v/>
      </c>
      <c r="M26" s="10" t="str">
        <f>IF(F26="Sim",VLOOKUP(C26,'Inscrições'!$E$1:$N$53,8,FALSE))</f>
        <v>Conselheira suplente</v>
      </c>
    </row>
    <row r="27" ht="22.5" hidden="1" customHeight="1">
      <c r="A27" s="7">
        <v>45987.44273524305</v>
      </c>
      <c r="B27" s="8" t="s">
        <v>321</v>
      </c>
      <c r="C27" s="8" t="s">
        <v>72</v>
      </c>
      <c r="D27" s="8" t="s">
        <v>73</v>
      </c>
      <c r="E27" s="8" t="s">
        <v>71</v>
      </c>
      <c r="F27" s="8" t="s">
        <v>214</v>
      </c>
      <c r="G27" s="11">
        <f>IF(F27="Sim",VLOOKUP(C27,'Inscrições'!$E$1:$N$53,2,FALSE))</f>
        <v>34262</v>
      </c>
      <c r="H27" s="10" t="str">
        <f>IF(F27="Sim",VLOOKUP(C27,'Inscrições'!$E$1:$N$53,3,FALSE))</f>
        <v>(61)99355-8287</v>
      </c>
      <c r="I27" s="10" t="str">
        <f>IF(F27="Sim",VLOOKUP(C27,'Inscrições'!$E$1:$N$53,4,FALSE))</f>
        <v>Valparaíso de Goiás</v>
      </c>
      <c r="J27" s="10" t="str">
        <f>IF(F27="Sim",VLOOKUP(C27,'Inscrições'!$E$1:$N$53,5,FALSE))</f>
        <v>CACS-FUNDEB</v>
      </c>
      <c r="K27" s="10" t="str">
        <f>IF(F27="Sim",VLOOKUP(C27,'Inscrições'!$E$1:$N$53,6,FALSE))</f>
        <v/>
      </c>
      <c r="L27" s="10" t="str">
        <f>IF(F27="Sim",VLOOKUP(C27,'Inscrições'!$E$1:$N$53,7,FALSE))</f>
        <v/>
      </c>
      <c r="M27" s="10" t="str">
        <f>IF(F27="Sim",VLOOKUP(C27,'Inscrições'!$E$1:$N$53,8,FALSE))</f>
        <v>Conselheira</v>
      </c>
    </row>
    <row r="28" ht="22.5" hidden="1" customHeight="1">
      <c r="A28" s="7">
        <v>45987.44277929398</v>
      </c>
      <c r="B28" s="8" t="s">
        <v>322</v>
      </c>
      <c r="C28" s="8" t="s">
        <v>198</v>
      </c>
      <c r="D28" s="8" t="s">
        <v>199</v>
      </c>
      <c r="E28" s="8" t="s">
        <v>196</v>
      </c>
      <c r="F28" s="8" t="s">
        <v>214</v>
      </c>
      <c r="G28" s="9">
        <f>IF(F28="Sim",VLOOKUP(C28,'Inscrições'!$E$1:$N$53,2,FALSE))</f>
        <v>35573</v>
      </c>
      <c r="H28" s="10" t="str">
        <f>IF(F28="Sim",VLOOKUP(C28,'Inscrições'!$E$1:$N$53,3,FALSE))</f>
        <v>(62)99557-8844</v>
      </c>
      <c r="I28" s="10" t="str">
        <f>IF(F28="Sim",VLOOKUP(C28,'Inscrições'!$E$1:$N$53,4,FALSE))</f>
        <v>Alexânia</v>
      </c>
      <c r="J28" s="10" t="str">
        <f>IF(F28="Sim",VLOOKUP(C28,'Inscrições'!$E$1:$N$53,5,FALSE))</f>
        <v>Gestão municipal</v>
      </c>
      <c r="K28" s="10" t="str">
        <f>IF(F28="Sim",VLOOKUP(C28,'Inscrições'!$E$1:$N$53,6,FALSE))</f>
        <v>Coordenação de transporte</v>
      </c>
      <c r="L28" s="10" t="str">
        <f>IF(F28="Sim",VLOOKUP(C28,'Inscrições'!$E$1:$N$53,7,FALSE))</f>
        <v/>
      </c>
      <c r="M28" s="10" t="str">
        <f>IF(F28="Sim",VLOOKUP(C28,'Inscrições'!$E$1:$N$53,8,FALSE))</f>
        <v/>
      </c>
    </row>
    <row r="29" ht="22.5" hidden="1" customHeight="1">
      <c r="A29" s="7">
        <v>45987.44347965278</v>
      </c>
      <c r="B29" s="8" t="s">
        <v>323</v>
      </c>
      <c r="C29" s="8" t="s">
        <v>55</v>
      </c>
      <c r="D29" s="8" t="s">
        <v>56</v>
      </c>
      <c r="E29" s="8" t="s">
        <v>324</v>
      </c>
      <c r="F29" s="8" t="s">
        <v>214</v>
      </c>
      <c r="G29" s="9">
        <f>IF(F29="Sim",VLOOKUP(C29,'Inscrições'!$E$1:$N$53,2,FALSE))</f>
        <v>24914</v>
      </c>
      <c r="H29" s="10" t="str">
        <f>IF(F29="Sim",VLOOKUP(C29,'Inscrições'!$E$1:$N$53,3,FALSE))</f>
        <v>(61)98425-9543</v>
      </c>
      <c r="I29" s="10" t="str">
        <f>IF(F29="Sim",VLOOKUP(C29,'Inscrições'!$E$1:$N$53,4,FALSE))</f>
        <v>Valparaíso de Goiás</v>
      </c>
      <c r="J29" s="10" t="str">
        <f>IF(F29="Sim",VLOOKUP(C29,'Inscrições'!$E$1:$N$53,5,FALSE))</f>
        <v>CACS-FUNDEB</v>
      </c>
      <c r="K29" s="10" t="str">
        <f>IF(F29="Sim",VLOOKUP(C29,'Inscrições'!$E$1:$N$53,6,FALSE))</f>
        <v/>
      </c>
      <c r="L29" s="10" t="str">
        <f>IF(F29="Sim",VLOOKUP(C29,'Inscrições'!$E$1:$N$53,7,FALSE))</f>
        <v/>
      </c>
      <c r="M29" s="10" t="str">
        <f>IF(F29="Sim",VLOOKUP(C29,'Inscrições'!$E$1:$N$53,8,FALSE))</f>
        <v>Representante dos professores - conselheira</v>
      </c>
    </row>
    <row r="30" ht="22.5" hidden="1" customHeight="1">
      <c r="A30" s="7">
        <v>45987.44353996528</v>
      </c>
      <c r="B30" s="8" t="s">
        <v>119</v>
      </c>
      <c r="C30" s="8" t="s">
        <v>120</v>
      </c>
      <c r="D30" s="8" t="s">
        <v>121</v>
      </c>
      <c r="E30" s="8" t="s">
        <v>118</v>
      </c>
      <c r="F30" s="8" t="s">
        <v>214</v>
      </c>
      <c r="G30" s="9">
        <f>IF(F30="Sim",VLOOKUP(C30,'Inscrições'!$E$1:$N$53,2,FALSE))</f>
        <v>26914</v>
      </c>
      <c r="H30" s="10" t="str">
        <f>IF(F30="Sim",VLOOKUP(C30,'Inscrições'!$E$1:$N$53,3,FALSE))</f>
        <v>(61)99260-5343</v>
      </c>
      <c r="I30" s="10" t="str">
        <f>IF(F30="Sim",VLOOKUP(C30,'Inscrições'!$E$1:$N$53,4,FALSE))</f>
        <v>Valparaíso de Goiás</v>
      </c>
      <c r="J30" s="10" t="str">
        <f>IF(F30="Sim",VLOOKUP(C30,'Inscrições'!$E$1:$N$53,5,FALSE))</f>
        <v>CACS-FUNDEB</v>
      </c>
      <c r="K30" s="10" t="str">
        <f>IF(F30="Sim",VLOOKUP(C30,'Inscrições'!$E$1:$N$53,6,FALSE))</f>
        <v/>
      </c>
      <c r="L30" s="10" t="str">
        <f>IF(F30="Sim",VLOOKUP(C30,'Inscrições'!$E$1:$N$53,7,FALSE))</f>
        <v/>
      </c>
      <c r="M30" s="10" t="str">
        <f>IF(F30="Sim",VLOOKUP(C30,'Inscrições'!$E$1:$N$53,8,FALSE))</f>
        <v>Conselheira titular segmento administrativo</v>
      </c>
    </row>
    <row r="31" ht="22.5" hidden="1" customHeight="1">
      <c r="A31" s="7">
        <v>45987.44354306713</v>
      </c>
      <c r="B31" s="8" t="s">
        <v>325</v>
      </c>
      <c r="C31" s="8" t="s">
        <v>95</v>
      </c>
      <c r="D31" s="8" t="s">
        <v>96</v>
      </c>
      <c r="E31" s="8" t="s">
        <v>92</v>
      </c>
      <c r="F31" s="8" t="s">
        <v>214</v>
      </c>
      <c r="G31" s="11">
        <f>IF(F31="Sim",VLOOKUP(C31,'Inscrições'!$E$1:$N$53,2,FALSE))</f>
        <v>19644</v>
      </c>
      <c r="H31" s="10" t="str">
        <f>IF(F31="Sim",VLOOKUP(C31,'Inscrições'!$E$1:$N$53,3,FALSE))</f>
        <v>(61)98682-8267</v>
      </c>
      <c r="I31" s="10" t="str">
        <f>IF(F31="Sim",VLOOKUP(C31,'Inscrições'!$E$1:$N$53,4,FALSE))</f>
        <v>Valparaíso de Goiás</v>
      </c>
      <c r="J31" s="10" t="str">
        <f>IF(F31="Sim",VLOOKUP(C31,'Inscrições'!$E$1:$N$53,5,FALSE))</f>
        <v>CACS-FUNDEB</v>
      </c>
      <c r="K31" s="10" t="str">
        <f>IF(F31="Sim",VLOOKUP(C31,'Inscrições'!$E$1:$N$53,6,FALSE))</f>
        <v/>
      </c>
      <c r="L31" s="10" t="str">
        <f>IF(F31="Sim",VLOOKUP(C31,'Inscrições'!$E$1:$N$53,7,FALSE))</f>
        <v/>
      </c>
      <c r="M31" s="10" t="str">
        <f>IF(F31="Sim",VLOOKUP(C31,'Inscrições'!$E$1:$N$53,8,FALSE))</f>
        <v>Conselheira</v>
      </c>
    </row>
    <row r="32" ht="22.5" hidden="1" customHeight="1">
      <c r="A32" s="7">
        <v>45987.44398685185</v>
      </c>
      <c r="B32" s="8" t="s">
        <v>191</v>
      </c>
      <c r="C32" s="8" t="s">
        <v>192</v>
      </c>
      <c r="D32" s="8" t="s">
        <v>193</v>
      </c>
      <c r="E32" s="8" t="s">
        <v>190</v>
      </c>
      <c r="F32" s="8" t="s">
        <v>214</v>
      </c>
      <c r="G32" s="9">
        <f>IF(F32="Sim",VLOOKUP(C32,'Inscrições'!$E$1:$N$53,2,FALSE))</f>
        <v>27479</v>
      </c>
      <c r="H32" s="10" t="str">
        <f>IF(F32="Sim",VLOOKUP(C32,'Inscrições'!$E$1:$N$53,3,FALSE))</f>
        <v>(61)99330-3822</v>
      </c>
      <c r="I32" s="10" t="str">
        <f>IF(F32="Sim",VLOOKUP(C32,'Inscrições'!$E$1:$N$53,4,FALSE))</f>
        <v>Alexânia</v>
      </c>
      <c r="J32" s="10" t="str">
        <f>IF(F32="Sim",VLOOKUP(C32,'Inscrições'!$E$1:$N$53,5,FALSE))</f>
        <v>Gestão municipal</v>
      </c>
      <c r="K32" s="10" t="str">
        <f>IF(F32="Sim",VLOOKUP(C32,'Inscrições'!$E$1:$N$53,6,FALSE))</f>
        <v>Coordenador de Transporte</v>
      </c>
      <c r="L32" s="10" t="str">
        <f>IF(F32="Sim",VLOOKUP(C32,'Inscrições'!$E$1:$N$53,7,FALSE))</f>
        <v/>
      </c>
      <c r="M32" s="10" t="str">
        <f>IF(F32="Sim",VLOOKUP(C32,'Inscrições'!$E$1:$N$53,8,FALSE))</f>
        <v/>
      </c>
    </row>
    <row r="33" ht="22.5" customHeight="1">
      <c r="A33" s="7">
        <v>45987.44421417824</v>
      </c>
      <c r="B33" s="8" t="s">
        <v>326</v>
      </c>
      <c r="C33" s="8" t="s">
        <v>327</v>
      </c>
      <c r="D33" s="8" t="s">
        <v>328</v>
      </c>
      <c r="E33" s="8" t="s">
        <v>329</v>
      </c>
      <c r="F33" s="8" t="s">
        <v>214</v>
      </c>
      <c r="G33" s="12">
        <v>32122.0</v>
      </c>
      <c r="H33" s="8" t="s">
        <v>330</v>
      </c>
      <c r="I33" s="8" t="s">
        <v>250</v>
      </c>
      <c r="J33" s="8" t="s">
        <v>19</v>
      </c>
      <c r="K33" s="8" t="s">
        <v>331</v>
      </c>
      <c r="L33" s="10"/>
      <c r="M33" s="10"/>
    </row>
    <row r="34" ht="22.5" hidden="1" customHeight="1">
      <c r="A34" s="7">
        <v>45987.444470636576</v>
      </c>
      <c r="B34" s="8" t="s">
        <v>332</v>
      </c>
      <c r="C34" s="8" t="s">
        <v>99</v>
      </c>
      <c r="D34" s="8" t="s">
        <v>100</v>
      </c>
      <c r="E34" s="8" t="s">
        <v>333</v>
      </c>
      <c r="F34" s="8" t="s">
        <v>214</v>
      </c>
      <c r="G34" s="9">
        <f>IF(F34="Sim",VLOOKUP(C34,'Inscrições'!$E$1:$N$53,2,FALSE))</f>
        <v>22478</v>
      </c>
      <c r="H34" s="10" t="str">
        <f>IF(F34="Sim",VLOOKUP(C34,'Inscrições'!$E$1:$N$53,3,FALSE))</f>
        <v>(61)99590-6771</v>
      </c>
      <c r="I34" s="10" t="str">
        <f>IF(F34="Sim",VLOOKUP(C34,'Inscrições'!$E$1:$N$53,4,FALSE))</f>
        <v>Valparaíso de Goiás</v>
      </c>
      <c r="J34" s="10" t="str">
        <f>IF(F34="Sim",VLOOKUP(C34,'Inscrições'!$E$1:$N$53,5,FALSE))</f>
        <v>CACS-FUNDEB</v>
      </c>
      <c r="K34" s="10" t="str">
        <f>IF(F34="Sim",VLOOKUP(C34,'Inscrições'!$E$1:$N$53,6,FALSE))</f>
        <v/>
      </c>
      <c r="L34" s="10" t="str">
        <f>IF(F34="Sim",VLOOKUP(C34,'Inscrições'!$E$1:$N$53,7,FALSE))</f>
        <v/>
      </c>
      <c r="M34" s="10" t="str">
        <f>IF(F34="Sim",VLOOKUP(C34,'Inscrições'!$E$1:$N$53,8,FALSE))</f>
        <v>Conselheira</v>
      </c>
    </row>
    <row r="35" ht="22.5" hidden="1" customHeight="1">
      <c r="A35" s="7">
        <v>45987.44506353009</v>
      </c>
      <c r="B35" s="8" t="s">
        <v>293</v>
      </c>
      <c r="C35" s="8" t="s">
        <v>294</v>
      </c>
      <c r="D35" s="8" t="s">
        <v>295</v>
      </c>
      <c r="E35" s="8" t="s">
        <v>292</v>
      </c>
      <c r="F35" s="8" t="s">
        <v>214</v>
      </c>
      <c r="G35" s="9">
        <f>IF(F35="Sim",VLOOKUP(C35,'Inscrições'!$E$1:$N$53,2,FALSE))</f>
        <v>25099</v>
      </c>
      <c r="H35" s="10" t="str">
        <f>IF(F35="Sim",VLOOKUP(C35,'Inscrições'!$E$1:$N$53,3,FALSE))</f>
        <v>(61)99148-6115</v>
      </c>
      <c r="I35" s="10" t="str">
        <f>IF(F35="Sim",VLOOKUP(C35,'Inscrições'!$E$1:$N$53,4,FALSE))</f>
        <v>Mimoso de Goiás</v>
      </c>
      <c r="J35" s="10" t="str">
        <f>IF(F35="Sim",VLOOKUP(C35,'Inscrições'!$E$1:$N$53,5,FALSE))</f>
        <v>Gestão municipal</v>
      </c>
      <c r="K35" s="10" t="str">
        <f>IF(F35="Sim",VLOOKUP(C35,'Inscrições'!$E$1:$N$53,6,FALSE))</f>
        <v>Técnico do transporte escolar</v>
      </c>
      <c r="L35" s="10" t="str">
        <f>IF(F35="Sim",VLOOKUP(C35,'Inscrições'!$E$1:$N$53,7,FALSE))</f>
        <v/>
      </c>
      <c r="M35" s="10" t="str">
        <f>IF(F35="Sim",VLOOKUP(C35,'Inscrições'!$E$1:$N$53,8,FALSE))</f>
        <v/>
      </c>
    </row>
    <row r="36" ht="22.5" hidden="1" customHeight="1">
      <c r="A36" s="7">
        <v>45987.45727640046</v>
      </c>
      <c r="B36" s="8" t="s">
        <v>242</v>
      </c>
      <c r="C36" s="8" t="s">
        <v>243</v>
      </c>
      <c r="D36" s="8" t="s">
        <v>244</v>
      </c>
      <c r="E36" s="8" t="s">
        <v>241</v>
      </c>
      <c r="F36" s="8" t="s">
        <v>214</v>
      </c>
      <c r="G36" s="9">
        <f>IF(F36="Sim",VLOOKUP(C36,'Inscrições'!$E$1:$N$53,2,FALSE))</f>
        <v>27078</v>
      </c>
      <c r="H36" s="10" t="str">
        <f>IF(F36="Sim",VLOOKUP(C36,'Inscrições'!$E$1:$N$53,3,FALSE))</f>
        <v>(61)99616-2161</v>
      </c>
      <c r="I36" s="10" t="str">
        <f>IF(F36="Sim",VLOOKUP(C36,'Inscrições'!$E$1:$N$53,4,FALSE))</f>
        <v>Mimoso de Goiás</v>
      </c>
      <c r="J36" s="10" t="str">
        <f>IF(F36="Sim",VLOOKUP(C36,'Inscrições'!$E$1:$N$53,5,FALSE))</f>
        <v>Gestão municipal</v>
      </c>
      <c r="K36" s="10" t="str">
        <f>IF(F36="Sim",VLOOKUP(C36,'Inscrições'!$E$1:$N$53,6,FALSE))</f>
        <v>Secretária Municipal de Educação</v>
      </c>
      <c r="L36" s="10" t="str">
        <f>IF(F36="Sim",VLOOKUP(C36,'Inscrições'!$E$1:$N$53,7,FALSE))</f>
        <v/>
      </c>
      <c r="M36" s="10" t="str">
        <f>IF(F36="Sim",VLOOKUP(C36,'Inscrições'!$E$1:$N$53,8,FALSE))</f>
        <v/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45968.36539351852</v>
      </c>
      <c r="B2" s="1" t="s">
        <v>14</v>
      </c>
      <c r="C2" s="1" t="s">
        <v>15</v>
      </c>
      <c r="D2" s="1" t="s">
        <v>14</v>
      </c>
      <c r="E2" s="1" t="s">
        <v>16</v>
      </c>
      <c r="F2" s="3">
        <v>29643.0</v>
      </c>
      <c r="G2" s="1" t="s">
        <v>17</v>
      </c>
      <c r="H2" s="1" t="s">
        <v>18</v>
      </c>
      <c r="I2" s="1" t="s">
        <v>19</v>
      </c>
      <c r="L2" s="1" t="s">
        <v>20</v>
      </c>
      <c r="M2" s="1" t="s">
        <v>21</v>
      </c>
    </row>
    <row r="3">
      <c r="A3" s="4">
        <v>45954.91421296296</v>
      </c>
      <c r="B3" s="1" t="s">
        <v>22</v>
      </c>
      <c r="C3" s="1" t="s">
        <v>23</v>
      </c>
      <c r="D3" s="1" t="s">
        <v>22</v>
      </c>
      <c r="E3" s="1" t="s">
        <v>24</v>
      </c>
      <c r="F3" s="3">
        <v>30555.0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M3" s="1" t="s">
        <v>21</v>
      </c>
    </row>
    <row r="4">
      <c r="A4" s="2">
        <v>45967.57121527778</v>
      </c>
      <c r="B4" s="1" t="s">
        <v>30</v>
      </c>
      <c r="C4" s="1" t="s">
        <v>31</v>
      </c>
      <c r="D4" s="1" t="s">
        <v>30</v>
      </c>
      <c r="E4" s="1" t="s">
        <v>32</v>
      </c>
      <c r="F4" s="3">
        <v>30564.0</v>
      </c>
      <c r="G4" s="1" t="s">
        <v>33</v>
      </c>
      <c r="H4" s="1" t="s">
        <v>34</v>
      </c>
      <c r="I4" s="1" t="s">
        <v>27</v>
      </c>
      <c r="J4" s="1" t="s">
        <v>35</v>
      </c>
      <c r="M4" s="1" t="s">
        <v>21</v>
      </c>
    </row>
    <row r="5">
      <c r="A5" s="4">
        <v>45978.38815972222</v>
      </c>
      <c r="B5" s="1" t="s">
        <v>36</v>
      </c>
      <c r="C5" s="1" t="s">
        <v>37</v>
      </c>
      <c r="D5" s="1" t="s">
        <v>36</v>
      </c>
      <c r="E5" s="1" t="s">
        <v>38</v>
      </c>
      <c r="F5" s="3">
        <v>31577.0</v>
      </c>
      <c r="G5" s="1" t="s">
        <v>39</v>
      </c>
      <c r="H5" s="1" t="s">
        <v>40</v>
      </c>
      <c r="I5" s="1" t="s">
        <v>27</v>
      </c>
      <c r="J5" s="1" t="s">
        <v>41</v>
      </c>
      <c r="M5" s="1" t="s">
        <v>21</v>
      </c>
    </row>
    <row r="6">
      <c r="A6" s="4">
        <v>45958.56261574074</v>
      </c>
      <c r="B6" s="1" t="s">
        <v>42</v>
      </c>
      <c r="C6" s="1" t="s">
        <v>43</v>
      </c>
      <c r="D6" s="1" t="s">
        <v>42</v>
      </c>
      <c r="E6" s="1" t="s">
        <v>44</v>
      </c>
      <c r="F6" s="5">
        <v>31007.0</v>
      </c>
      <c r="G6" s="1" t="s">
        <v>45</v>
      </c>
      <c r="H6" s="1" t="s">
        <v>46</v>
      </c>
      <c r="I6" s="1" t="s">
        <v>19</v>
      </c>
      <c r="L6" s="1" t="s">
        <v>47</v>
      </c>
      <c r="M6" s="1" t="s">
        <v>21</v>
      </c>
    </row>
    <row r="7">
      <c r="A7" s="2">
        <v>45967.577731481484</v>
      </c>
      <c r="B7" s="1" t="s">
        <v>48</v>
      </c>
      <c r="C7" s="1" t="s">
        <v>49</v>
      </c>
      <c r="D7" s="1" t="s">
        <v>48</v>
      </c>
      <c r="E7" s="1" t="s">
        <v>50</v>
      </c>
      <c r="F7" s="3">
        <v>32326.0</v>
      </c>
      <c r="G7" s="1" t="s">
        <v>51</v>
      </c>
      <c r="H7" s="1" t="s">
        <v>34</v>
      </c>
      <c r="I7" s="1" t="s">
        <v>19</v>
      </c>
      <c r="L7" s="1" t="s">
        <v>52</v>
      </c>
      <c r="M7" s="1" t="s">
        <v>21</v>
      </c>
    </row>
    <row r="8">
      <c r="A8" s="2">
        <v>45968.38087962963</v>
      </c>
      <c r="B8" s="1" t="s">
        <v>53</v>
      </c>
      <c r="C8" s="1" t="s">
        <v>54</v>
      </c>
      <c r="D8" s="1" t="s">
        <v>53</v>
      </c>
      <c r="E8" s="1" t="s">
        <v>55</v>
      </c>
      <c r="F8" s="3">
        <v>24914.0</v>
      </c>
      <c r="G8" s="1" t="s">
        <v>56</v>
      </c>
      <c r="H8" s="1" t="s">
        <v>18</v>
      </c>
      <c r="I8" s="1" t="s">
        <v>19</v>
      </c>
      <c r="L8" s="1" t="s">
        <v>57</v>
      </c>
      <c r="M8" s="1" t="s">
        <v>21</v>
      </c>
    </row>
    <row r="9">
      <c r="A9" s="4">
        <v>45959.60717592593</v>
      </c>
      <c r="B9" s="1" t="s">
        <v>58</v>
      </c>
      <c r="C9" s="1" t="s">
        <v>59</v>
      </c>
      <c r="D9" s="1" t="s">
        <v>58</v>
      </c>
      <c r="E9" s="1" t="s">
        <v>60</v>
      </c>
      <c r="F9" s="3">
        <v>32359.0</v>
      </c>
      <c r="G9" s="1" t="s">
        <v>61</v>
      </c>
      <c r="H9" s="1" t="s">
        <v>62</v>
      </c>
      <c r="I9" s="1" t="s">
        <v>19</v>
      </c>
      <c r="L9" s="1" t="s">
        <v>52</v>
      </c>
      <c r="M9" s="1" t="s">
        <v>21</v>
      </c>
    </row>
    <row r="10">
      <c r="A10" s="4">
        <v>45971.48069444444</v>
      </c>
      <c r="B10" s="1" t="s">
        <v>63</v>
      </c>
      <c r="C10" s="1" t="s">
        <v>64</v>
      </c>
      <c r="D10" s="1" t="s">
        <v>63</v>
      </c>
      <c r="E10" s="1" t="s">
        <v>65</v>
      </c>
      <c r="F10" s="3">
        <v>33715.0</v>
      </c>
      <c r="G10" s="1" t="s">
        <v>66</v>
      </c>
      <c r="H10" s="1" t="s">
        <v>67</v>
      </c>
      <c r="I10" s="1" t="s">
        <v>27</v>
      </c>
      <c r="J10" s="1" t="s">
        <v>68</v>
      </c>
      <c r="M10" s="1" t="s">
        <v>21</v>
      </c>
    </row>
    <row r="11">
      <c r="A11" s="2">
        <v>45968.362962962965</v>
      </c>
      <c r="B11" s="1" t="s">
        <v>69</v>
      </c>
      <c r="C11" s="1" t="s">
        <v>70</v>
      </c>
      <c r="D11" s="1" t="s">
        <v>71</v>
      </c>
      <c r="E11" s="1" t="s">
        <v>72</v>
      </c>
      <c r="F11" s="5">
        <v>34262.0</v>
      </c>
      <c r="G11" s="1" t="s">
        <v>73</v>
      </c>
      <c r="H11" s="1" t="s">
        <v>18</v>
      </c>
      <c r="I11" s="1" t="s">
        <v>19</v>
      </c>
      <c r="L11" s="1" t="s">
        <v>74</v>
      </c>
      <c r="M11" s="1" t="s">
        <v>21</v>
      </c>
    </row>
    <row r="12">
      <c r="A12" s="2">
        <v>45968.60300925926</v>
      </c>
      <c r="B12" s="1" t="s">
        <v>75</v>
      </c>
      <c r="C12" s="1" t="s">
        <v>76</v>
      </c>
      <c r="D12" s="1" t="s">
        <v>75</v>
      </c>
      <c r="E12" s="1" t="s">
        <v>77</v>
      </c>
      <c r="F12" s="3">
        <v>34740.0</v>
      </c>
      <c r="G12" s="1" t="s">
        <v>78</v>
      </c>
      <c r="H12" s="1" t="s">
        <v>46</v>
      </c>
      <c r="I12" s="1" t="s">
        <v>27</v>
      </c>
      <c r="J12" s="1" t="s">
        <v>79</v>
      </c>
      <c r="M12" s="1" t="s">
        <v>21</v>
      </c>
    </row>
    <row r="13">
      <c r="A13" s="4">
        <v>45961.52196759259</v>
      </c>
      <c r="B13" s="1" t="s">
        <v>80</v>
      </c>
      <c r="C13" s="1" t="s">
        <v>81</v>
      </c>
      <c r="D13" s="1" t="s">
        <v>82</v>
      </c>
      <c r="E13" s="1" t="s">
        <v>83</v>
      </c>
      <c r="F13" s="3">
        <v>33455.0</v>
      </c>
      <c r="G13" s="1" t="s">
        <v>84</v>
      </c>
      <c r="H13" s="1" t="s">
        <v>85</v>
      </c>
      <c r="I13" s="1" t="s">
        <v>27</v>
      </c>
      <c r="J13" s="1" t="s">
        <v>86</v>
      </c>
      <c r="M13" s="1" t="s">
        <v>21</v>
      </c>
    </row>
    <row r="14">
      <c r="A14" s="4">
        <v>45954.59533564815</v>
      </c>
      <c r="B14" s="1" t="s">
        <v>87</v>
      </c>
      <c r="C14" s="1" t="s">
        <v>88</v>
      </c>
      <c r="D14" s="1" t="s">
        <v>87</v>
      </c>
      <c r="E14" s="1" t="s">
        <v>89</v>
      </c>
      <c r="F14" s="3">
        <v>33464.0</v>
      </c>
      <c r="G14" s="1" t="s">
        <v>90</v>
      </c>
      <c r="H14" s="1" t="s">
        <v>40</v>
      </c>
      <c r="I14" s="1" t="s">
        <v>19</v>
      </c>
      <c r="L14" s="1" t="s">
        <v>91</v>
      </c>
      <c r="M14" s="1" t="s">
        <v>21</v>
      </c>
    </row>
    <row r="15">
      <c r="A15" s="2">
        <v>45968.622083333335</v>
      </c>
      <c r="B15" s="1" t="s">
        <v>92</v>
      </c>
      <c r="C15" s="1" t="s">
        <v>93</v>
      </c>
      <c r="D15" s="1" t="s">
        <v>94</v>
      </c>
      <c r="E15" s="1" t="s">
        <v>95</v>
      </c>
      <c r="F15" s="5">
        <v>19644.0</v>
      </c>
      <c r="G15" s="1" t="s">
        <v>96</v>
      </c>
      <c r="H15" s="1" t="s">
        <v>18</v>
      </c>
      <c r="I15" s="1" t="s">
        <v>19</v>
      </c>
      <c r="L15" s="1" t="s">
        <v>74</v>
      </c>
      <c r="M15" s="1" t="s">
        <v>21</v>
      </c>
    </row>
    <row r="16">
      <c r="A16" s="4">
        <v>45973.47605324074</v>
      </c>
      <c r="B16" s="1" t="s">
        <v>97</v>
      </c>
      <c r="C16" s="1" t="s">
        <v>98</v>
      </c>
      <c r="D16" s="1" t="s">
        <v>97</v>
      </c>
      <c r="E16" s="1" t="s">
        <v>99</v>
      </c>
      <c r="F16" s="3">
        <v>22478.0</v>
      </c>
      <c r="G16" s="1" t="s">
        <v>100</v>
      </c>
      <c r="H16" s="1" t="s">
        <v>18</v>
      </c>
      <c r="I16" s="1" t="s">
        <v>19</v>
      </c>
      <c r="L16" s="1" t="s">
        <v>74</v>
      </c>
      <c r="M16" s="1" t="s">
        <v>21</v>
      </c>
    </row>
    <row r="17">
      <c r="A17" s="4">
        <v>45958.5078125</v>
      </c>
      <c r="B17" s="1" t="s">
        <v>101</v>
      </c>
      <c r="C17" s="1" t="s">
        <v>102</v>
      </c>
      <c r="D17" s="1" t="s">
        <v>101</v>
      </c>
      <c r="E17" s="1" t="s">
        <v>103</v>
      </c>
      <c r="F17" s="3">
        <v>23409.0</v>
      </c>
      <c r="G17" s="1" t="s">
        <v>104</v>
      </c>
      <c r="H17" s="1" t="s">
        <v>105</v>
      </c>
      <c r="I17" s="1" t="s">
        <v>27</v>
      </c>
      <c r="J17" s="1" t="s">
        <v>106</v>
      </c>
      <c r="M17" s="1" t="s">
        <v>21</v>
      </c>
    </row>
    <row r="18">
      <c r="A18" s="2">
        <v>45967.63746527778</v>
      </c>
      <c r="B18" s="1" t="s">
        <v>107</v>
      </c>
      <c r="C18" s="1" t="s">
        <v>108</v>
      </c>
      <c r="D18" s="1" t="s">
        <v>107</v>
      </c>
      <c r="E18" s="1" t="s">
        <v>109</v>
      </c>
      <c r="F18" s="5">
        <v>24063.0</v>
      </c>
      <c r="G18" s="1" t="s">
        <v>110</v>
      </c>
      <c r="H18" s="1" t="s">
        <v>18</v>
      </c>
      <c r="I18" s="1" t="s">
        <v>27</v>
      </c>
      <c r="J18" s="1" t="s">
        <v>111</v>
      </c>
      <c r="M18" s="1" t="s">
        <v>21</v>
      </c>
    </row>
    <row r="19">
      <c r="A19" s="4">
        <v>45959.60010416667</v>
      </c>
      <c r="B19" s="1" t="s">
        <v>112</v>
      </c>
      <c r="C19" s="1" t="s">
        <v>113</v>
      </c>
      <c r="D19" s="1" t="s">
        <v>112</v>
      </c>
      <c r="E19" s="1" t="s">
        <v>114</v>
      </c>
      <c r="F19" s="3">
        <v>24781.0</v>
      </c>
      <c r="G19" s="1" t="s">
        <v>115</v>
      </c>
      <c r="H19" s="1" t="s">
        <v>62</v>
      </c>
      <c r="I19" s="1" t="s">
        <v>27</v>
      </c>
      <c r="J19" s="1" t="s">
        <v>116</v>
      </c>
      <c r="K19" s="1" t="s">
        <v>117</v>
      </c>
      <c r="M19" s="1" t="s">
        <v>21</v>
      </c>
    </row>
    <row r="20">
      <c r="A20" s="2">
        <v>45968.37621527778</v>
      </c>
      <c r="B20" s="1" t="s">
        <v>118</v>
      </c>
      <c r="C20" s="1" t="s">
        <v>119</v>
      </c>
      <c r="D20" s="1" t="s">
        <v>118</v>
      </c>
      <c r="E20" s="1" t="s">
        <v>120</v>
      </c>
      <c r="F20" s="3">
        <v>26914.0</v>
      </c>
      <c r="G20" s="1" t="s">
        <v>121</v>
      </c>
      <c r="H20" s="1" t="s">
        <v>18</v>
      </c>
      <c r="I20" s="1" t="s">
        <v>19</v>
      </c>
      <c r="L20" s="1" t="s">
        <v>122</v>
      </c>
      <c r="M20" s="1" t="s">
        <v>21</v>
      </c>
    </row>
    <row r="21">
      <c r="A21" s="4">
        <v>45958.67337962963</v>
      </c>
      <c r="B21" s="1" t="s">
        <v>123</v>
      </c>
      <c r="C21" s="1" t="s">
        <v>124</v>
      </c>
      <c r="D21" s="1" t="s">
        <v>125</v>
      </c>
      <c r="E21" s="1" t="s">
        <v>126</v>
      </c>
      <c r="F21" s="3">
        <v>25246.0</v>
      </c>
      <c r="G21" s="1" t="s">
        <v>127</v>
      </c>
      <c r="H21" s="1" t="s">
        <v>46</v>
      </c>
      <c r="I21" s="1" t="s">
        <v>19</v>
      </c>
      <c r="L21" s="1" t="s">
        <v>128</v>
      </c>
      <c r="M21" s="1" t="s">
        <v>21</v>
      </c>
    </row>
    <row r="22">
      <c r="A22" s="4">
        <v>45958.520462962966</v>
      </c>
      <c r="B22" s="1" t="s">
        <v>129</v>
      </c>
      <c r="C22" s="1" t="s">
        <v>130</v>
      </c>
      <c r="D22" s="1" t="s">
        <v>129</v>
      </c>
      <c r="E22" s="1" t="s">
        <v>131</v>
      </c>
      <c r="F22" s="5">
        <v>25558.0</v>
      </c>
      <c r="G22" s="1" t="s">
        <v>132</v>
      </c>
      <c r="H22" s="1" t="s">
        <v>105</v>
      </c>
      <c r="I22" s="1" t="s">
        <v>27</v>
      </c>
      <c r="J22" s="1" t="s">
        <v>133</v>
      </c>
      <c r="K22" s="1" t="s">
        <v>134</v>
      </c>
      <c r="M22" s="1" t="s">
        <v>21</v>
      </c>
    </row>
    <row r="23">
      <c r="A23" s="2">
        <v>45968.60422453703</v>
      </c>
      <c r="B23" s="1" t="s">
        <v>135</v>
      </c>
      <c r="C23" s="1" t="s">
        <v>136</v>
      </c>
      <c r="D23" s="1" t="s">
        <v>135</v>
      </c>
      <c r="E23" s="1" t="s">
        <v>137</v>
      </c>
      <c r="F23" s="5">
        <v>25890.0</v>
      </c>
      <c r="G23" s="1" t="s">
        <v>138</v>
      </c>
      <c r="H23" s="1" t="s">
        <v>46</v>
      </c>
      <c r="I23" s="1" t="s">
        <v>27</v>
      </c>
      <c r="J23" s="1" t="s">
        <v>139</v>
      </c>
      <c r="M23" s="1" t="s">
        <v>21</v>
      </c>
    </row>
    <row r="24">
      <c r="A24" s="4">
        <v>45954.55699074074</v>
      </c>
      <c r="B24" s="1" t="s">
        <v>140</v>
      </c>
      <c r="C24" s="1" t="s">
        <v>141</v>
      </c>
      <c r="D24" s="1" t="s">
        <v>140</v>
      </c>
      <c r="E24" s="1" t="s">
        <v>142</v>
      </c>
      <c r="F24" s="3">
        <v>27085.0</v>
      </c>
      <c r="G24" s="1" t="s">
        <v>143</v>
      </c>
      <c r="H24" s="1" t="s">
        <v>40</v>
      </c>
      <c r="I24" s="1" t="s">
        <v>27</v>
      </c>
      <c r="J24" s="1" t="s">
        <v>144</v>
      </c>
      <c r="M24" s="1" t="s">
        <v>21</v>
      </c>
    </row>
    <row r="25">
      <c r="A25" s="2">
        <v>45970.342453703706</v>
      </c>
      <c r="B25" s="1" t="s">
        <v>145</v>
      </c>
      <c r="C25" s="1" t="s">
        <v>146</v>
      </c>
      <c r="D25" s="1" t="s">
        <v>145</v>
      </c>
      <c r="E25" s="1" t="s">
        <v>148</v>
      </c>
      <c r="F25" s="3">
        <v>28496.0</v>
      </c>
      <c r="G25" s="1" t="s">
        <v>149</v>
      </c>
      <c r="H25" s="1" t="s">
        <v>18</v>
      </c>
      <c r="I25" s="1" t="s">
        <v>19</v>
      </c>
      <c r="L25" s="1" t="s">
        <v>151</v>
      </c>
      <c r="M25" s="1" t="s">
        <v>21</v>
      </c>
    </row>
    <row r="26">
      <c r="A26" s="2">
        <v>45966.65760416666</v>
      </c>
      <c r="B26" s="1" t="s">
        <v>152</v>
      </c>
      <c r="C26" s="1" t="s">
        <v>153</v>
      </c>
      <c r="D26" s="1" t="s">
        <v>154</v>
      </c>
      <c r="E26" s="1" t="s">
        <v>155</v>
      </c>
      <c r="F26" s="3">
        <v>29532.0</v>
      </c>
      <c r="G26" s="1" t="s">
        <v>157</v>
      </c>
      <c r="H26" s="1" t="s">
        <v>18</v>
      </c>
      <c r="I26" s="1" t="s">
        <v>27</v>
      </c>
      <c r="J26" s="1" t="s">
        <v>158</v>
      </c>
      <c r="K26" s="1" t="s">
        <v>159</v>
      </c>
      <c r="M26" s="1" t="s">
        <v>21</v>
      </c>
    </row>
    <row r="27">
      <c r="A27" s="4">
        <v>45958.54383101852</v>
      </c>
      <c r="B27" s="1" t="s">
        <v>161</v>
      </c>
      <c r="C27" s="1" t="s">
        <v>162</v>
      </c>
      <c r="D27" s="1" t="s">
        <v>161</v>
      </c>
      <c r="E27" s="1" t="s">
        <v>163</v>
      </c>
      <c r="F27" s="3">
        <v>28642.0</v>
      </c>
      <c r="G27" s="1" t="s">
        <v>164</v>
      </c>
      <c r="H27" s="1" t="s">
        <v>105</v>
      </c>
      <c r="I27" s="1" t="s">
        <v>19</v>
      </c>
      <c r="L27" s="1" t="s">
        <v>74</v>
      </c>
      <c r="M27" s="1" t="s">
        <v>21</v>
      </c>
    </row>
    <row r="28">
      <c r="A28" s="4">
        <v>45971.70103009259</v>
      </c>
      <c r="B28" s="1" t="s">
        <v>165</v>
      </c>
      <c r="C28" s="1" t="s">
        <v>166</v>
      </c>
      <c r="D28" s="1" t="s">
        <v>165</v>
      </c>
      <c r="E28" s="1" t="s">
        <v>167</v>
      </c>
      <c r="F28" s="3">
        <v>27526.0</v>
      </c>
      <c r="G28" s="1" t="s">
        <v>168</v>
      </c>
      <c r="H28" s="1" t="s">
        <v>62</v>
      </c>
      <c r="I28" s="1" t="s">
        <v>27</v>
      </c>
      <c r="J28" s="1" t="s">
        <v>169</v>
      </c>
      <c r="K28" s="1" t="s">
        <v>170</v>
      </c>
      <c r="M28" s="1" t="s">
        <v>21</v>
      </c>
    </row>
    <row r="29">
      <c r="A29" s="4">
        <v>45975.953310185185</v>
      </c>
      <c r="B29" s="1" t="s">
        <v>171</v>
      </c>
      <c r="C29" s="1" t="s">
        <v>172</v>
      </c>
      <c r="D29" s="1" t="s">
        <v>171</v>
      </c>
      <c r="E29" s="1" t="s">
        <v>173</v>
      </c>
      <c r="F29" s="3">
        <v>28573.0</v>
      </c>
      <c r="G29" s="1" t="s">
        <v>174</v>
      </c>
      <c r="H29" s="1" t="s">
        <v>26</v>
      </c>
      <c r="I29" s="1" t="s">
        <v>27</v>
      </c>
      <c r="J29" s="1" t="s">
        <v>175</v>
      </c>
      <c r="M29" s="1" t="s">
        <v>21</v>
      </c>
    </row>
    <row r="30">
      <c r="A30" s="4">
        <v>45971.386342592596</v>
      </c>
      <c r="B30" s="1" t="s">
        <v>176</v>
      </c>
      <c r="C30" s="1" t="s">
        <v>177</v>
      </c>
      <c r="D30" s="1" t="s">
        <v>176</v>
      </c>
      <c r="E30" s="1" t="s">
        <v>178</v>
      </c>
      <c r="F30" s="3">
        <v>30532.0</v>
      </c>
      <c r="G30" s="1" t="s">
        <v>179</v>
      </c>
      <c r="H30" s="1" t="s">
        <v>18</v>
      </c>
      <c r="I30" s="1" t="s">
        <v>19</v>
      </c>
      <c r="L30" s="1" t="s">
        <v>20</v>
      </c>
      <c r="M30" s="1" t="s">
        <v>21</v>
      </c>
    </row>
    <row r="31">
      <c r="A31" s="4">
        <v>45974.35890046296</v>
      </c>
      <c r="B31" s="1" t="s">
        <v>180</v>
      </c>
      <c r="C31" s="1" t="s">
        <v>181</v>
      </c>
      <c r="D31" s="1" t="s">
        <v>180</v>
      </c>
      <c r="E31" s="1" t="s">
        <v>182</v>
      </c>
      <c r="F31" s="3">
        <v>28656.0</v>
      </c>
      <c r="G31" s="1" t="s">
        <v>183</v>
      </c>
      <c r="H31" s="1" t="s">
        <v>62</v>
      </c>
      <c r="I31" s="1" t="s">
        <v>19</v>
      </c>
      <c r="L31" s="1" t="s">
        <v>184</v>
      </c>
      <c r="M31" s="1" t="s">
        <v>21</v>
      </c>
    </row>
    <row r="32">
      <c r="A32" s="2">
        <v>45968.6096875</v>
      </c>
      <c r="B32" s="1" t="s">
        <v>185</v>
      </c>
      <c r="C32" s="1" t="s">
        <v>186</v>
      </c>
      <c r="D32" s="1" t="s">
        <v>185</v>
      </c>
      <c r="E32" s="1" t="s">
        <v>187</v>
      </c>
      <c r="F32" s="3">
        <v>30811.0</v>
      </c>
      <c r="G32" s="1" t="s">
        <v>188</v>
      </c>
      <c r="H32" s="1" t="s">
        <v>46</v>
      </c>
      <c r="I32" s="1" t="s">
        <v>27</v>
      </c>
      <c r="J32" s="1" t="s">
        <v>189</v>
      </c>
      <c r="M32" s="1" t="s">
        <v>21</v>
      </c>
    </row>
    <row r="33">
      <c r="A33" s="4">
        <v>45978.61896990741</v>
      </c>
      <c r="B33" s="1" t="s">
        <v>190</v>
      </c>
      <c r="C33" s="1" t="s">
        <v>191</v>
      </c>
      <c r="D33" s="1" t="s">
        <v>190</v>
      </c>
      <c r="E33" s="1" t="s">
        <v>192</v>
      </c>
      <c r="F33" s="3">
        <v>27479.0</v>
      </c>
      <c r="G33" s="1" t="s">
        <v>193</v>
      </c>
      <c r="H33" s="1" t="s">
        <v>194</v>
      </c>
      <c r="I33" s="1" t="s">
        <v>27</v>
      </c>
      <c r="J33" s="1" t="s">
        <v>195</v>
      </c>
      <c r="M33" s="1" t="s">
        <v>21</v>
      </c>
    </row>
    <row r="34">
      <c r="A34" s="4">
        <v>45978.62466435185</v>
      </c>
      <c r="B34" s="1" t="s">
        <v>196</v>
      </c>
      <c r="C34" s="1" t="s">
        <v>197</v>
      </c>
      <c r="D34" s="1" t="s">
        <v>196</v>
      </c>
      <c r="E34" s="1" t="s">
        <v>198</v>
      </c>
      <c r="F34" s="3">
        <v>35573.0</v>
      </c>
      <c r="G34" s="1" t="s">
        <v>199</v>
      </c>
      <c r="H34" s="1" t="s">
        <v>194</v>
      </c>
      <c r="I34" s="1" t="s">
        <v>27</v>
      </c>
      <c r="J34" s="1" t="s">
        <v>200</v>
      </c>
      <c r="M34" s="1" t="s">
        <v>21</v>
      </c>
    </row>
    <row r="35">
      <c r="A35" s="4">
        <v>45979.60778935185</v>
      </c>
      <c r="B35" s="1" t="s">
        <v>201</v>
      </c>
      <c r="C35" s="1" t="s">
        <v>202</v>
      </c>
      <c r="D35" s="1" t="s">
        <v>201</v>
      </c>
      <c r="E35" s="1" t="s">
        <v>203</v>
      </c>
      <c r="F35" s="3">
        <v>27063.0</v>
      </c>
      <c r="G35" s="1" t="s">
        <v>204</v>
      </c>
      <c r="H35" s="1" t="s">
        <v>40</v>
      </c>
      <c r="I35" s="1" t="s">
        <v>27</v>
      </c>
      <c r="J35" s="1" t="s">
        <v>205</v>
      </c>
      <c r="M35" s="1" t="s">
        <v>21</v>
      </c>
    </row>
    <row r="36">
      <c r="A36" s="4">
        <v>45979.609189814815</v>
      </c>
      <c r="B36" s="1" t="s">
        <v>206</v>
      </c>
      <c r="C36" s="1" t="s">
        <v>207</v>
      </c>
      <c r="D36" s="1" t="s">
        <v>206</v>
      </c>
      <c r="E36" s="1" t="s">
        <v>208</v>
      </c>
      <c r="F36" s="3">
        <v>31090.0</v>
      </c>
      <c r="G36" s="1" t="s">
        <v>209</v>
      </c>
      <c r="H36" s="1" t="s">
        <v>210</v>
      </c>
      <c r="I36" s="1" t="s">
        <v>27</v>
      </c>
      <c r="J36" s="1" t="s">
        <v>211</v>
      </c>
      <c r="M36" s="1" t="s">
        <v>21</v>
      </c>
    </row>
    <row r="37">
      <c r="A37" s="4">
        <v>45979.65336805556</v>
      </c>
      <c r="B37" s="1" t="s">
        <v>101</v>
      </c>
      <c r="C37" s="1" t="s">
        <v>102</v>
      </c>
      <c r="D37" s="1" t="s">
        <v>101</v>
      </c>
      <c r="E37" s="1" t="s">
        <v>103</v>
      </c>
      <c r="F37" s="3">
        <v>23409.0</v>
      </c>
      <c r="G37" s="1" t="s">
        <v>104</v>
      </c>
      <c r="H37" s="1" t="s">
        <v>105</v>
      </c>
      <c r="I37" s="1" t="s">
        <v>27</v>
      </c>
      <c r="J37" s="1" t="s">
        <v>212</v>
      </c>
      <c r="K37" s="1" t="s">
        <v>213</v>
      </c>
      <c r="M37" s="1" t="s">
        <v>21</v>
      </c>
    </row>
    <row r="38">
      <c r="A38" s="4">
        <v>45980.44013888889</v>
      </c>
      <c r="B38" s="1" t="s">
        <v>215</v>
      </c>
      <c r="C38" s="1" t="s">
        <v>216</v>
      </c>
      <c r="D38" s="1" t="s">
        <v>215</v>
      </c>
      <c r="E38" s="1" t="s">
        <v>217</v>
      </c>
      <c r="F38" s="3">
        <v>30802.0</v>
      </c>
      <c r="G38" s="1" t="s">
        <v>218</v>
      </c>
      <c r="H38" s="1" t="s">
        <v>219</v>
      </c>
      <c r="I38" s="1" t="s">
        <v>27</v>
      </c>
      <c r="J38" s="1" t="s">
        <v>220</v>
      </c>
      <c r="M38" s="1" t="s">
        <v>21</v>
      </c>
    </row>
    <row r="39">
      <c r="A39" s="4">
        <v>45980.440462962964</v>
      </c>
      <c r="B39" s="1" t="s">
        <v>221</v>
      </c>
      <c r="C39" s="1" t="s">
        <v>222</v>
      </c>
      <c r="D39" s="1" t="s">
        <v>221</v>
      </c>
      <c r="E39" s="1" t="s">
        <v>223</v>
      </c>
      <c r="F39" s="3">
        <v>24275.0</v>
      </c>
      <c r="G39" s="1" t="s">
        <v>224</v>
      </c>
      <c r="H39" s="1" t="s">
        <v>219</v>
      </c>
      <c r="I39" s="1" t="s">
        <v>27</v>
      </c>
      <c r="J39" s="1" t="s">
        <v>225</v>
      </c>
      <c r="M39" s="1" t="s">
        <v>21</v>
      </c>
    </row>
    <row r="40">
      <c r="A40" s="4">
        <v>45980.445231481484</v>
      </c>
      <c r="B40" s="1" t="s">
        <v>226</v>
      </c>
      <c r="C40" s="1" t="s">
        <v>227</v>
      </c>
      <c r="D40" s="1" t="s">
        <v>226</v>
      </c>
      <c r="E40" s="1" t="s">
        <v>228</v>
      </c>
      <c r="F40" s="3">
        <v>28667.0</v>
      </c>
      <c r="G40" s="1" t="s">
        <v>229</v>
      </c>
      <c r="H40" s="1" t="s">
        <v>219</v>
      </c>
      <c r="I40" s="1" t="s">
        <v>27</v>
      </c>
      <c r="J40" s="1" t="s">
        <v>230</v>
      </c>
      <c r="M40" s="1" t="s">
        <v>21</v>
      </c>
    </row>
    <row r="41">
      <c r="A41" s="4">
        <v>45980.60290509259</v>
      </c>
      <c r="B41" s="1" t="s">
        <v>231</v>
      </c>
      <c r="C41" s="1" t="s">
        <v>232</v>
      </c>
      <c r="D41" s="1" t="s">
        <v>231</v>
      </c>
      <c r="E41" s="1" t="s">
        <v>233</v>
      </c>
      <c r="F41" s="5">
        <v>28105.0</v>
      </c>
      <c r="G41" s="1" t="s">
        <v>234</v>
      </c>
      <c r="H41" s="1" t="s">
        <v>34</v>
      </c>
      <c r="I41" s="1" t="s">
        <v>27</v>
      </c>
      <c r="J41" s="1" t="s">
        <v>235</v>
      </c>
      <c r="M41" s="1" t="s">
        <v>21</v>
      </c>
    </row>
    <row r="42">
      <c r="A42" s="4">
        <v>45980.84532407407</v>
      </c>
      <c r="B42" s="1" t="s">
        <v>236</v>
      </c>
      <c r="C42" s="1" t="s">
        <v>237</v>
      </c>
      <c r="D42" s="1" t="s">
        <v>236</v>
      </c>
      <c r="E42" s="1" t="s">
        <v>238</v>
      </c>
      <c r="F42" s="5">
        <v>29934.0</v>
      </c>
      <c r="G42" s="1" t="s">
        <v>239</v>
      </c>
      <c r="H42" s="1" t="s">
        <v>34</v>
      </c>
      <c r="I42" s="1" t="s">
        <v>27</v>
      </c>
      <c r="J42" s="1" t="s">
        <v>240</v>
      </c>
      <c r="M42" s="1" t="s">
        <v>21</v>
      </c>
    </row>
    <row r="43">
      <c r="A43" s="4">
        <v>45980.87777777778</v>
      </c>
      <c r="B43" s="1" t="s">
        <v>241</v>
      </c>
      <c r="C43" s="1" t="s">
        <v>242</v>
      </c>
      <c r="D43" s="1" t="s">
        <v>241</v>
      </c>
      <c r="E43" s="1" t="s">
        <v>243</v>
      </c>
      <c r="F43" s="3">
        <v>27078.0</v>
      </c>
      <c r="G43" s="1" t="s">
        <v>244</v>
      </c>
      <c r="H43" s="1" t="s">
        <v>245</v>
      </c>
      <c r="I43" s="1" t="s">
        <v>27</v>
      </c>
      <c r="J43" s="1" t="s">
        <v>144</v>
      </c>
      <c r="M43" s="1" t="s">
        <v>21</v>
      </c>
    </row>
    <row r="44">
      <c r="A44" s="4">
        <v>45981.916041666664</v>
      </c>
      <c r="B44" s="1" t="s">
        <v>246</v>
      </c>
      <c r="C44" s="1" t="s">
        <v>247</v>
      </c>
      <c r="D44" s="1" t="s">
        <v>246</v>
      </c>
      <c r="E44" s="1" t="s">
        <v>248</v>
      </c>
      <c r="F44" s="3">
        <v>31466.0</v>
      </c>
      <c r="G44" s="1" t="s">
        <v>249</v>
      </c>
      <c r="H44" s="1" t="s">
        <v>250</v>
      </c>
      <c r="I44" s="1" t="s">
        <v>19</v>
      </c>
      <c r="L44" s="1" t="s">
        <v>52</v>
      </c>
      <c r="M44" s="1" t="s">
        <v>21</v>
      </c>
    </row>
    <row r="45">
      <c r="A45" s="4">
        <v>45982.424942129626</v>
      </c>
      <c r="B45" s="1" t="s">
        <v>251</v>
      </c>
      <c r="C45" s="1" t="s">
        <v>252</v>
      </c>
      <c r="D45" s="1" t="s">
        <v>251</v>
      </c>
      <c r="E45" s="1" t="s">
        <v>253</v>
      </c>
      <c r="F45" s="3">
        <v>32737.0</v>
      </c>
      <c r="G45" s="1" t="s">
        <v>254</v>
      </c>
      <c r="H45" s="1" t="s">
        <v>210</v>
      </c>
      <c r="I45" s="1" t="s">
        <v>27</v>
      </c>
      <c r="J45" s="1" t="s">
        <v>211</v>
      </c>
      <c r="M45" s="1" t="s">
        <v>21</v>
      </c>
    </row>
    <row r="46">
      <c r="A46" s="4">
        <v>45982.601805555554</v>
      </c>
      <c r="B46" s="1" t="s">
        <v>255</v>
      </c>
      <c r="C46" s="1" t="s">
        <v>256</v>
      </c>
      <c r="D46" s="1" t="s">
        <v>255</v>
      </c>
      <c r="E46" s="1" t="s">
        <v>257</v>
      </c>
      <c r="F46" s="3">
        <v>30454.0</v>
      </c>
      <c r="G46" s="1" t="s">
        <v>258</v>
      </c>
      <c r="H46" s="1" t="s">
        <v>250</v>
      </c>
      <c r="I46" s="1" t="s">
        <v>19</v>
      </c>
      <c r="L46" s="1" t="s">
        <v>74</v>
      </c>
      <c r="M46" s="1" t="s">
        <v>21</v>
      </c>
    </row>
    <row r="47">
      <c r="A47" s="4">
        <v>45982.60290509259</v>
      </c>
      <c r="B47" s="1" t="s">
        <v>259</v>
      </c>
      <c r="C47" s="1" t="s">
        <v>260</v>
      </c>
      <c r="D47" s="1" t="s">
        <v>261</v>
      </c>
      <c r="E47" s="1" t="s">
        <v>262</v>
      </c>
      <c r="F47" s="3">
        <v>31174.0</v>
      </c>
      <c r="G47" s="1" t="s">
        <v>263</v>
      </c>
      <c r="H47" s="1" t="s">
        <v>250</v>
      </c>
      <c r="I47" s="1" t="s">
        <v>19</v>
      </c>
      <c r="L47" s="1" t="s">
        <v>74</v>
      </c>
      <c r="M47" s="1" t="s">
        <v>21</v>
      </c>
    </row>
    <row r="48">
      <c r="A48" s="4">
        <v>45985.39326388889</v>
      </c>
      <c r="B48" s="1" t="s">
        <v>264</v>
      </c>
      <c r="C48" s="1" t="s">
        <v>265</v>
      </c>
      <c r="D48" s="1" t="s">
        <v>264</v>
      </c>
      <c r="E48" s="1" t="s">
        <v>266</v>
      </c>
      <c r="F48" s="5">
        <v>30612.0</v>
      </c>
      <c r="G48" s="1" t="s">
        <v>267</v>
      </c>
      <c r="H48" s="1" t="s">
        <v>245</v>
      </c>
      <c r="I48" s="1" t="s">
        <v>19</v>
      </c>
      <c r="L48" s="1" t="s">
        <v>268</v>
      </c>
      <c r="M48" s="1" t="s">
        <v>21</v>
      </c>
    </row>
    <row r="49">
      <c r="A49" s="4">
        <v>45985.724594907406</v>
      </c>
      <c r="B49" s="1" t="s">
        <v>269</v>
      </c>
      <c r="C49" s="1" t="s">
        <v>270</v>
      </c>
      <c r="D49" s="1" t="s">
        <v>269</v>
      </c>
      <c r="E49" s="1" t="s">
        <v>271</v>
      </c>
      <c r="F49" s="3">
        <v>30189.0</v>
      </c>
      <c r="G49" s="1" t="s">
        <v>272</v>
      </c>
      <c r="H49" s="1" t="s">
        <v>273</v>
      </c>
      <c r="I49" s="1" t="s">
        <v>27</v>
      </c>
      <c r="J49" s="1" t="s">
        <v>274</v>
      </c>
      <c r="K49" s="1" t="s">
        <v>275</v>
      </c>
      <c r="M49" s="1" t="s">
        <v>21</v>
      </c>
    </row>
    <row r="50">
      <c r="A50" s="4">
        <v>45986.42511574074</v>
      </c>
      <c r="B50" s="1" t="s">
        <v>276</v>
      </c>
      <c r="C50" s="1" t="s">
        <v>277</v>
      </c>
      <c r="D50" s="1" t="s">
        <v>276</v>
      </c>
      <c r="E50" s="1" t="s">
        <v>278</v>
      </c>
      <c r="F50" s="3">
        <v>25110.0</v>
      </c>
      <c r="G50" s="1" t="s">
        <v>279</v>
      </c>
      <c r="H50" s="1" t="s">
        <v>245</v>
      </c>
      <c r="I50" s="1" t="s">
        <v>27</v>
      </c>
      <c r="J50" s="1" t="s">
        <v>280</v>
      </c>
      <c r="M50" s="1" t="s">
        <v>21</v>
      </c>
    </row>
    <row r="51">
      <c r="A51" s="4">
        <v>45986.47707175926</v>
      </c>
      <c r="B51" s="1" t="s">
        <v>281</v>
      </c>
      <c r="C51" s="1" t="s">
        <v>282</v>
      </c>
      <c r="D51" s="1" t="s">
        <v>281</v>
      </c>
      <c r="E51" s="1" t="s">
        <v>283</v>
      </c>
      <c r="F51" s="5">
        <v>29945.0</v>
      </c>
      <c r="G51" s="1" t="s">
        <v>284</v>
      </c>
      <c r="H51" s="1" t="s">
        <v>40</v>
      </c>
      <c r="I51" s="1" t="s">
        <v>19</v>
      </c>
      <c r="L51" s="1" t="s">
        <v>285</v>
      </c>
      <c r="M51" s="1" t="s">
        <v>21</v>
      </c>
    </row>
    <row r="52">
      <c r="A52" s="4">
        <v>45986.62988425926</v>
      </c>
      <c r="B52" s="1" t="s">
        <v>286</v>
      </c>
      <c r="C52" s="1" t="s">
        <v>287</v>
      </c>
      <c r="D52" s="1" t="s">
        <v>288</v>
      </c>
      <c r="E52" s="1" t="s">
        <v>289</v>
      </c>
      <c r="F52" s="3">
        <v>32299.0</v>
      </c>
      <c r="G52" s="1" t="s">
        <v>290</v>
      </c>
      <c r="H52" s="1" t="s">
        <v>273</v>
      </c>
      <c r="I52" s="1" t="s">
        <v>19</v>
      </c>
      <c r="L52" s="1" t="s">
        <v>291</v>
      </c>
      <c r="M52" s="1" t="s">
        <v>21</v>
      </c>
    </row>
    <row r="53">
      <c r="A53" s="4">
        <v>45986.94332175926</v>
      </c>
      <c r="B53" s="1" t="s">
        <v>292</v>
      </c>
      <c r="C53" s="1" t="s">
        <v>293</v>
      </c>
      <c r="D53" s="1" t="s">
        <v>292</v>
      </c>
      <c r="E53" s="1" t="s">
        <v>294</v>
      </c>
      <c r="F53" s="3">
        <v>25099.0</v>
      </c>
      <c r="G53" s="1" t="s">
        <v>295</v>
      </c>
      <c r="H53" s="1" t="s">
        <v>245</v>
      </c>
      <c r="I53" s="1" t="s">
        <v>27</v>
      </c>
      <c r="J53" s="1" t="s">
        <v>296</v>
      </c>
      <c r="M53" s="1" t="s">
        <v>21</v>
      </c>
    </row>
  </sheetData>
  <drawing r:id="rId1"/>
</worksheet>
</file>