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ções" sheetId="2" r:id="rId6"/>
  </sheets>
  <definedNames/>
  <calcPr/>
</workbook>
</file>

<file path=xl/sharedStrings.xml><?xml version="1.0" encoding="utf-8"?>
<sst xmlns="http://schemas.openxmlformats.org/spreadsheetml/2006/main" count="310" uniqueCount="194">
  <si>
    <t>Carimbo de data/hora</t>
  </si>
  <si>
    <t>Nome Completo:</t>
  </si>
  <si>
    <t>CPF:  XXX.XXX.XXX-XX</t>
  </si>
  <si>
    <t>Telefone: (DD)XXXXX-XXXX</t>
  </si>
  <si>
    <t>Você já está inscrito no Curso de Capacitação em Transporte Escolar?</t>
  </si>
  <si>
    <t>E-mail coletado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</si>
  <si>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</si>
  <si>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</si>
  <si>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</si>
  <si>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</si>
  <si>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</si>
  <si>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</si>
  <si>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</si>
  <si>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E-mail: xxxxxxx@xxxmail.com</t>
  </si>
  <si>
    <t>D/N</t>
  </si>
  <si>
    <t>Cidade</t>
  </si>
  <si>
    <t>Paulo Fernandes Peres</t>
  </si>
  <si>
    <t>531.307.071-15</t>
  </si>
  <si>
    <t>(66)98124-6606</t>
  </si>
  <si>
    <t>Sim</t>
  </si>
  <si>
    <t>Robert de Oliveira Diglio</t>
  </si>
  <si>
    <t>070.640.921-31</t>
  </si>
  <si>
    <t>(66)98140-1621</t>
  </si>
  <si>
    <t xml:space="preserve">Ana Caroline Richetti Martins </t>
  </si>
  <si>
    <t>053.854.911-44</t>
  </si>
  <si>
    <t>(65)98457-9488</t>
  </si>
  <si>
    <t>Juliana Cruz Amorim</t>
  </si>
  <si>
    <t>013.384.051-44</t>
  </si>
  <si>
    <t>(66)98445-6698</t>
  </si>
  <si>
    <t>Não</t>
  </si>
  <si>
    <t xml:space="preserve">julianacruzamorim@hotmail.com </t>
  </si>
  <si>
    <t>(66) 98445-6698</t>
  </si>
  <si>
    <t>Cotriguaçu</t>
  </si>
  <si>
    <t>Gestão municipal</t>
  </si>
  <si>
    <t>Tecnica Administrativo  Educacional</t>
  </si>
  <si>
    <t xml:space="preserve">Aparecida Maria de Lima </t>
  </si>
  <si>
    <t>013.383.281-31</t>
  </si>
  <si>
    <t>(66)99608-2379</t>
  </si>
  <si>
    <t>CASTANHEIRA</t>
  </si>
  <si>
    <t>Gmc</t>
  </si>
  <si>
    <t xml:space="preserve">Daniella dos Santos Pimenta Sabatine </t>
  </si>
  <si>
    <t>045.606.721-30</t>
  </si>
  <si>
    <t>(66)98412-1377</t>
  </si>
  <si>
    <t xml:space="preserve">Robson Natan Leite </t>
  </si>
  <si>
    <t>020.615.391-06</t>
  </si>
  <si>
    <t>(66)99942-1763</t>
  </si>
  <si>
    <t>Letícia Caroline dos Santos Leal</t>
  </si>
  <si>
    <t>055.457.621-08</t>
  </si>
  <si>
    <t>(66)98124-8825</t>
  </si>
  <si>
    <t xml:space="preserve">Júlio Rodrigues de Oliveira </t>
  </si>
  <si>
    <t>819.754.221-04</t>
  </si>
  <si>
    <t>(66)99629-4130</t>
  </si>
  <si>
    <t>Rosemeire Jacinta Duarte</t>
  </si>
  <si>
    <t>858.944.941-68</t>
  </si>
  <si>
    <t>(66)99639-0551</t>
  </si>
  <si>
    <t xml:space="preserve">Luiz Sanches carpes </t>
  </si>
  <si>
    <t>019.842.802-47</t>
  </si>
  <si>
    <t>(66)99955-5366</t>
  </si>
  <si>
    <t>luizsanches.lsc@gmail.com</t>
  </si>
  <si>
    <t>Porto dos Gaúchos</t>
  </si>
  <si>
    <t>Gestão Municipal</t>
  </si>
  <si>
    <t>Coordenador de Transporte Escolar</t>
  </si>
  <si>
    <t xml:space="preserve">Juliana yung </t>
  </si>
  <si>
    <t>035.331.941-40</t>
  </si>
  <si>
    <t>(66)99241-9900</t>
  </si>
  <si>
    <t>RAUL LUE SOUZA GAMA</t>
  </si>
  <si>
    <t>041.901.265-60</t>
  </si>
  <si>
    <t>(66)99255-0968</t>
  </si>
  <si>
    <t xml:space="preserve">raullsg43@gmail.com </t>
  </si>
  <si>
    <t xml:space="preserve">Juína </t>
  </si>
  <si>
    <t>Tecnico do transporte escolar</t>
  </si>
  <si>
    <t xml:space="preserve">Géssica Santos da Silva </t>
  </si>
  <si>
    <t>063.768.491-56</t>
  </si>
  <si>
    <t xml:space="preserve">(66)99669-5642 </t>
  </si>
  <si>
    <t xml:space="preserve">Claudete Casusa de Sousa e Sousa </t>
  </si>
  <si>
    <t>000.427.951-41</t>
  </si>
  <si>
    <t>(66)99685-2919</t>
  </si>
  <si>
    <t>Ildamir Teixeira de Faria</t>
  </si>
  <si>
    <t>862.362.881-68</t>
  </si>
  <si>
    <t>(66)99987-2579</t>
  </si>
  <si>
    <t>ildamirfaria@hotmail.com</t>
  </si>
  <si>
    <t>Juína - MT</t>
  </si>
  <si>
    <t>Assessor de Logística</t>
  </si>
  <si>
    <t xml:space="preserve">Raquel dos Santos </t>
  </si>
  <si>
    <t>045.891.661-78</t>
  </si>
  <si>
    <t>(66)98434-5016</t>
  </si>
  <si>
    <t xml:space="preserve">Alessandra Levertina Almeida de Oliveira </t>
  </si>
  <si>
    <t>858.385.271-53</t>
  </si>
  <si>
    <t>(66)98420-3658</t>
  </si>
  <si>
    <t xml:space="preserve">Neiber Marques staut de Carvalho </t>
  </si>
  <si>
    <t>960.721.051-49</t>
  </si>
  <si>
    <t>(66)98417-3588</t>
  </si>
  <si>
    <t>Neiberstaut@hotmail.com</t>
  </si>
  <si>
    <t xml:space="preserve">Aripuanā </t>
  </si>
  <si>
    <t>Divisão de Trasnporte Escolar</t>
  </si>
  <si>
    <t xml:space="preserve">Nelson Coutinho de Menezes </t>
  </si>
  <si>
    <t>104.277.988-09</t>
  </si>
  <si>
    <t>(66)98443-1619</t>
  </si>
  <si>
    <t>Endereço de e-mail</t>
  </si>
  <si>
    <t>CPF</t>
  </si>
  <si>
    <t>Telefone (XX)XXXXX-XXXX</t>
  </si>
  <si>
    <t>E-mail</t>
  </si>
  <si>
    <t>ale.almeida2023@outlook.com</t>
  </si>
  <si>
    <t>Alessandra levertina Almeida de Oliveira</t>
  </si>
  <si>
    <t>JURUENA</t>
  </si>
  <si>
    <t>CACS-FUNDEB</t>
  </si>
  <si>
    <t>Presidente</t>
  </si>
  <si>
    <t>presidente</t>
  </si>
  <si>
    <t>93richetti@gmail.com</t>
  </si>
  <si>
    <t>Ana Caroline Richetti Martins</t>
  </si>
  <si>
    <t>COTRIGUAÇU</t>
  </si>
  <si>
    <t>Técnico administrativo educacional</t>
  </si>
  <si>
    <t>ana.dacol@castanheira.edu.mt.gov.br</t>
  </si>
  <si>
    <t>Ana Paula de Oliveira Dacol Maria</t>
  </si>
  <si>
    <t>040.107.811-65</t>
  </si>
  <si>
    <t>(66)99710-7907</t>
  </si>
  <si>
    <t>Assessora Pedagógico</t>
  </si>
  <si>
    <t>TRANS ESCOLAR 100%</t>
  </si>
  <si>
    <t>claudetecasusade@gmail.com</t>
  </si>
  <si>
    <t xml:space="preserve">Professora </t>
  </si>
  <si>
    <t xml:space="preserve">Aumento da frota. Com isso facilitou para os alunos que moram mais distantes. </t>
  </si>
  <si>
    <t>projetos@edu.juina.mt.gov.br</t>
  </si>
  <si>
    <t>Daniella dos Santos Pimenta Sabatine</t>
  </si>
  <si>
    <t>JUÍNA</t>
  </si>
  <si>
    <t>Representante dos Técnicos da Educação</t>
  </si>
  <si>
    <t>elisangelatorresaraujo@gmail.com</t>
  </si>
  <si>
    <t xml:space="preserve">Elisângela Torres Araújo </t>
  </si>
  <si>
    <t>571.400.901-06</t>
  </si>
  <si>
    <t>(66)99722-7878</t>
  </si>
  <si>
    <t>BRASNORTE</t>
  </si>
  <si>
    <t>gessica.silva@edu.juina.mt.gov.br</t>
  </si>
  <si>
    <t>(66)99669-5642</t>
  </si>
  <si>
    <t xml:space="preserve">Prestação de Contas </t>
  </si>
  <si>
    <t>862.369.891-68</t>
  </si>
  <si>
    <t>Assessor de Logística - Transporte Escolar</t>
  </si>
  <si>
    <t>Não.</t>
  </si>
  <si>
    <t>jessicamacedo218@gmail.com</t>
  </si>
  <si>
    <t>Jéssica Thailis Freitas de Macedo</t>
  </si>
  <si>
    <t>035.806.171-76</t>
  </si>
  <si>
    <t>(66)99689-9179</t>
  </si>
  <si>
    <t>Suplente, representante de pais.</t>
  </si>
  <si>
    <t>jocelijesus@hotmail.com</t>
  </si>
  <si>
    <t>Joceli Teodoro Candido de Jesus</t>
  </si>
  <si>
    <t>877.974.451-68</t>
  </si>
  <si>
    <t>(66)98441-6839</t>
  </si>
  <si>
    <t>Secretário</t>
  </si>
  <si>
    <t>satres@edu.aripuana.mt.gov.br</t>
  </si>
  <si>
    <t>juliana yung</t>
  </si>
  <si>
    <t>ARIPUANÃ</t>
  </si>
  <si>
    <t xml:space="preserve">secretaria adjunta transporte escolar </t>
  </si>
  <si>
    <t>smec.bte-programas@brasnorte.mt.gov.br</t>
  </si>
  <si>
    <t>JULIO RODRIGUES DE OLIVEIRA</t>
  </si>
  <si>
    <t>DIRETOR DE PROGRAMAS E PROJETOS</t>
  </si>
  <si>
    <t>leticiacsleal@gmail.com</t>
  </si>
  <si>
    <t>Secretária</t>
  </si>
  <si>
    <t>loroprof@hotmail.com</t>
  </si>
  <si>
    <t xml:space="preserve">Lourival Alves da Rocha </t>
  </si>
  <si>
    <t>616.935.881-53</t>
  </si>
  <si>
    <t>(66)99633-4633</t>
  </si>
  <si>
    <t>Técnico do Transcolar</t>
  </si>
  <si>
    <t xml:space="preserve">O município de Castanheira alcançou um marco importante: 100% dos alunos da rede municipal e estadual estão georreferenciados e devidamente alocados no transporte escolar que atende suas localidades. Essa conquista só foi possível graças à colaboração eficiente entre o Técnico do Transcolar, a Secretaria Municipal de Educação, os motoristas e a própria comunidade escolar.
</t>
  </si>
  <si>
    <t xml:space="preserve">luiz sanches carpes </t>
  </si>
  <si>
    <t>019.842.801-47</t>
  </si>
  <si>
    <t>PORTO DOS GAÚCHOS</t>
  </si>
  <si>
    <t xml:space="preserve">coordenador de transporte escolar </t>
  </si>
  <si>
    <t>gostaria de informar, que o sistema em si funciona perfeitamente , porem gostaria de frisar que a uma falha e gostaria de sugerir uma mudança. que o sistema tivesse uma ferramenta que recebesse as matriculas direto do diário eletrônico bem como o transcolar do estado de mato grosso criado pela seduc/mt , ficando assim melhor o atendimento e gerenciamento deste sistema, temos dificuldades em manter dosi sistemas de gestão escolar dentro do município.</t>
  </si>
  <si>
    <t>maria@edu.portodosgauchos.mt.gov.br</t>
  </si>
  <si>
    <t xml:space="preserve">Maria da Conceição  de Carvalho </t>
  </si>
  <si>
    <t>005.937.051-30</t>
  </si>
  <si>
    <t>(66)99696-3740</t>
  </si>
  <si>
    <t xml:space="preserve">Presidente </t>
  </si>
  <si>
    <t>nelson.c.menezes@gmail.com</t>
  </si>
  <si>
    <t>Nelson Coutinho de Menezes</t>
  </si>
  <si>
    <t>Técnico em Prestação de Contas</t>
  </si>
  <si>
    <t>paulopfernando@hotmail.com</t>
  </si>
  <si>
    <t>PAULO FERNANDES PERES</t>
  </si>
  <si>
    <t>membro do conselho Representante de Gestores</t>
  </si>
  <si>
    <t>rakely_st@hotmail.com</t>
  </si>
  <si>
    <t>Raquel dos Santos</t>
  </si>
  <si>
    <t>Técnica Administrativa Educacional - Técnica do transporte</t>
  </si>
  <si>
    <t>robertdiglio@gmail.com</t>
  </si>
  <si>
    <t>COLNIZA</t>
  </si>
  <si>
    <t>Agente Administrativo</t>
  </si>
  <si>
    <t>robson.natan.leite@gmail.com</t>
  </si>
  <si>
    <t>Robson Natan Leite</t>
  </si>
  <si>
    <t>Coordenador do Transcolar Rural</t>
  </si>
  <si>
    <t>rosimeire_pmcastanheira@hotmail.com</t>
  </si>
  <si>
    <t>ROSEMEIRE JACINTA DUARTE</t>
  </si>
  <si>
    <t>Agente Administrativo III</t>
  </si>
  <si>
    <t>cacs-fundeb@colniza.mt.gov.br</t>
  </si>
  <si>
    <t xml:space="preserve">RUBENS MARQUES </t>
  </si>
  <si>
    <t>046.683.647-38</t>
  </si>
  <si>
    <t>(66)98114-7158</t>
  </si>
  <si>
    <t xml:space="preserve">PRESIDENTE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</si>
</sst>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criçõ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1" displayName="Form_Responses" name="Form_Responses" id="1">
  <tableColumns count="16">
    <tableColumn name="Carimbo de data/hora" id="1"/>
    <tableColumn name="Nome Completo:" id="2"/>
    <tableColumn name="CPF:  XXX.XXX.XXX-XX" id="3"/>
    <tableColumn name="Telefone: (DD)XXXXX-XXXX" id="4"/>
    <tableColumn name="Você já está inscrito no Curso de Capacitação em Transporte Escolar?" id="5"/>
    <tableColumn name="E-mail coletado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  <tableColumn name="E-mail: xxxxxxx@xxxmail.com" id="14"/>
    <tableColumn name="D/N" id="15"/>
    <tableColumn name="Cidade" id="16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L25" displayName="Tabela_1" name="Tabela_1" id="2">
  <tableColumns count="12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E-mail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</tableColumns>
  <tableStyleInfo name="Inscriç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13"/>
    <col customWidth="1" min="4" max="4" width="25.38"/>
    <col customWidth="1" min="5" max="5" width="37.63"/>
    <col customWidth="1" min="6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2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4" t="s">
        <v>13</v>
      </c>
      <c r="O1" s="5" t="s">
        <v>14</v>
      </c>
      <c r="P1" s="4" t="s">
        <v>15</v>
      </c>
    </row>
    <row r="2" ht="22.5" customHeight="1">
      <c r="A2" s="6">
        <v>45890.40015053241</v>
      </c>
      <c r="B2" s="7" t="s">
        <v>16</v>
      </c>
      <c r="C2" s="7" t="s">
        <v>17</v>
      </c>
      <c r="D2" s="7" t="s">
        <v>18</v>
      </c>
      <c r="E2" s="7" t="s">
        <v>19</v>
      </c>
      <c r="F2" s="8"/>
      <c r="G2" s="8"/>
      <c r="H2" s="8"/>
      <c r="I2" s="8"/>
      <c r="J2" s="8"/>
      <c r="K2" s="8"/>
      <c r="L2" s="8"/>
      <c r="M2" s="8"/>
      <c r="N2" s="8" t="str">
        <f>IF(E2="Não",F2,VLOOKUP(C2,'Inscrições'!D:I,6,FALSE))</f>
        <v>paulopfernando@hotmail.com</v>
      </c>
      <c r="O2" s="9">
        <f>IF(E2="Não",G2,VLOOKUP(C2,'Inscrições'!D:H,2,FALSE))</f>
        <v>26465</v>
      </c>
      <c r="P2" s="8" t="str">
        <f>IF(E2="Não",I2,VLOOKUP(C2,'Inscrições'!D:H,4,FALSE))</f>
        <v>COTRIGUAÇU</v>
      </c>
    </row>
    <row r="3" ht="22.5" customHeight="1">
      <c r="A3" s="6">
        <v>45890.40111762732</v>
      </c>
      <c r="B3" s="7" t="s">
        <v>20</v>
      </c>
      <c r="C3" s="7" t="s">
        <v>21</v>
      </c>
      <c r="D3" s="7" t="s">
        <v>22</v>
      </c>
      <c r="E3" s="7" t="s">
        <v>19</v>
      </c>
      <c r="F3" s="8"/>
      <c r="G3" s="8"/>
      <c r="H3" s="8"/>
      <c r="I3" s="8"/>
      <c r="J3" s="8"/>
      <c r="K3" s="8"/>
      <c r="L3" s="8"/>
      <c r="M3" s="8"/>
      <c r="N3" s="8" t="str">
        <f>IF(E3="Não",F3,VLOOKUP(C3,'Inscrições'!D:I,6,FALSE))</f>
        <v>robertdiglio@gmail.com</v>
      </c>
      <c r="O3" s="9">
        <f>IF(E3="Não",G3,VLOOKUP(C3,'Inscrições'!D:H,2,FALSE))</f>
        <v>38754</v>
      </c>
      <c r="P3" s="8" t="str">
        <f>IF(E3="Não",I3,VLOOKUP(C3,'Inscrições'!D:H,4,FALSE))</f>
        <v>COLNIZA</v>
      </c>
    </row>
    <row r="4" ht="22.5" customHeight="1">
      <c r="A4" s="6">
        <v>45890.4012096875</v>
      </c>
      <c r="B4" s="7" t="s">
        <v>23</v>
      </c>
      <c r="C4" s="7" t="s">
        <v>24</v>
      </c>
      <c r="D4" s="7" t="s">
        <v>25</v>
      </c>
      <c r="E4" s="7" t="s">
        <v>19</v>
      </c>
      <c r="F4" s="8"/>
      <c r="G4" s="8"/>
      <c r="H4" s="8"/>
      <c r="I4" s="8"/>
      <c r="J4" s="8"/>
      <c r="K4" s="8"/>
      <c r="L4" s="8"/>
      <c r="M4" s="8"/>
      <c r="N4" s="8" t="str">
        <f>IF(E4="Não",F4,VLOOKUP(C4,'Inscrições'!D:I,6,FALSE))</f>
        <v>93richetti@gmail.com</v>
      </c>
      <c r="O4" s="9">
        <f>IF(E4="Não",G4,VLOOKUP(C4,'Inscrições'!D:H,2,FALSE))</f>
        <v>36627</v>
      </c>
      <c r="P4" s="8" t="str">
        <f>IF(E4="Não",I4,VLOOKUP(C4,'Inscrições'!D:H,4,FALSE))</f>
        <v>COTRIGUAÇU</v>
      </c>
    </row>
    <row r="5" ht="22.5" customHeight="1">
      <c r="A5" s="6">
        <v>45890.40142386574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10">
        <v>31584.0</v>
      </c>
      <c r="H5" s="7" t="s">
        <v>31</v>
      </c>
      <c r="I5" s="7" t="s">
        <v>32</v>
      </c>
      <c r="J5" s="7" t="s">
        <v>33</v>
      </c>
      <c r="K5" s="7" t="s">
        <v>34</v>
      </c>
      <c r="L5" s="8"/>
      <c r="M5" s="8"/>
      <c r="N5" s="8" t="str">
        <f>IF(E5="Não",F5,VLOOKUP(C5,'Inscrições'!D:I,6,FALSE))</f>
        <v>julianacruzamorim@hotmail.com </v>
      </c>
      <c r="O5" s="11">
        <f>IF(E5="Não",G5,VLOOKUP(C5,'Inscrições'!D:H,2,FALSE))</f>
        <v>31584</v>
      </c>
      <c r="P5" s="8" t="str">
        <f>IF(E5="Não",I5,VLOOKUP(C5,'Inscrições'!D:H,4,FALSE))</f>
        <v>Cotriguaçu</v>
      </c>
    </row>
    <row r="6" ht="22.5" customHeight="1">
      <c r="A6" s="6">
        <v>45890.40152516204</v>
      </c>
      <c r="B6" s="7" t="s">
        <v>35</v>
      </c>
      <c r="C6" s="7" t="s">
        <v>36</v>
      </c>
      <c r="D6" s="7" t="s">
        <v>37</v>
      </c>
      <c r="E6" s="7" t="s">
        <v>29</v>
      </c>
      <c r="F6" s="12"/>
      <c r="G6" s="12">
        <v>31495.0</v>
      </c>
      <c r="H6" s="7" t="s">
        <v>37</v>
      </c>
      <c r="I6" s="7" t="s">
        <v>38</v>
      </c>
      <c r="J6" s="7" t="s">
        <v>33</v>
      </c>
      <c r="K6" s="7" t="s">
        <v>39</v>
      </c>
      <c r="L6" s="8"/>
      <c r="M6" s="8"/>
      <c r="N6" s="9" t="str">
        <f>IF(E6="Não",F6,VLOOKUP(C6,'Inscrições'!D:I,6,FALSE))</f>
        <v/>
      </c>
      <c r="O6" s="9">
        <f>IF(E6="Não",G6,VLOOKUP(C6,'Inscrições'!D:H,2,FALSE))</f>
        <v>31495</v>
      </c>
      <c r="P6" s="8" t="str">
        <f>IF(E6="Não",I6,VLOOKUP(C6,'Inscrições'!D:H,4,FALSE))</f>
        <v>CASTANHEIRA</v>
      </c>
    </row>
    <row r="7" ht="22.5" customHeight="1">
      <c r="A7" s="6">
        <v>45890.40193076389</v>
      </c>
      <c r="B7" s="7" t="s">
        <v>40</v>
      </c>
      <c r="C7" s="7" t="s">
        <v>41</v>
      </c>
      <c r="D7" s="7" t="s">
        <v>42</v>
      </c>
      <c r="E7" s="7" t="s">
        <v>19</v>
      </c>
      <c r="F7" s="8"/>
      <c r="G7" s="8"/>
      <c r="H7" s="8"/>
      <c r="I7" s="8"/>
      <c r="J7" s="8"/>
      <c r="K7" s="8"/>
      <c r="L7" s="8"/>
      <c r="M7" s="8"/>
      <c r="N7" s="8" t="str">
        <f>IF(E7="Não",F7,VLOOKUP(C7,'Inscrições'!D:I,6,FALSE))</f>
        <v>projetos@edu.juina.mt.gov.br</v>
      </c>
      <c r="O7" s="9">
        <f>IF(E7="Não",G7,VLOOKUP(C7,'Inscrições'!D:H,2,FALSE))</f>
        <v>34534</v>
      </c>
      <c r="P7" s="8" t="str">
        <f>IF(E7="Não",I7,VLOOKUP(C7,'Inscrições'!D:H,4,FALSE))</f>
        <v>JUÍNA</v>
      </c>
    </row>
    <row r="8" ht="22.5" customHeight="1">
      <c r="A8" s="6">
        <v>45890.401970810184</v>
      </c>
      <c r="B8" s="7" t="s">
        <v>43</v>
      </c>
      <c r="C8" s="7" t="s">
        <v>44</v>
      </c>
      <c r="D8" s="7" t="s">
        <v>45</v>
      </c>
      <c r="E8" s="7" t="s">
        <v>19</v>
      </c>
      <c r="F8" s="8"/>
      <c r="G8" s="8"/>
      <c r="H8" s="8"/>
      <c r="I8" s="8"/>
      <c r="J8" s="8"/>
      <c r="K8" s="8"/>
      <c r="L8" s="8"/>
      <c r="M8" s="8"/>
      <c r="N8" s="8" t="str">
        <f>IF(E8="Não",F8,VLOOKUP(C8,'Inscrições'!D:I,6,FALSE))</f>
        <v>robson.natan.leite@gmail.com</v>
      </c>
      <c r="O8" s="9">
        <f>IF(E8="Não",G8,VLOOKUP(C8,'Inscrições'!D:H,2,FALSE))</f>
        <v>32764</v>
      </c>
      <c r="P8" s="8" t="str">
        <f>IF(E8="Não",I8,VLOOKUP(C8,'Inscrições'!D:H,4,FALSE))</f>
        <v>BRASNORTE</v>
      </c>
    </row>
    <row r="9" ht="22.5" customHeight="1">
      <c r="A9" s="6">
        <v>45890.40209577546</v>
      </c>
      <c r="B9" s="7" t="s">
        <v>46</v>
      </c>
      <c r="C9" s="7" t="s">
        <v>47</v>
      </c>
      <c r="D9" s="7" t="s">
        <v>48</v>
      </c>
      <c r="E9" s="7" t="s">
        <v>19</v>
      </c>
      <c r="F9" s="8"/>
      <c r="G9" s="8"/>
      <c r="H9" s="8"/>
      <c r="I9" s="8"/>
      <c r="J9" s="8"/>
      <c r="K9" s="8"/>
      <c r="L9" s="8"/>
      <c r="M9" s="8"/>
      <c r="N9" s="8" t="str">
        <f>IF(E9="Não",F9,VLOOKUP(C9,'Inscrições'!D:I,6,FALSE))</f>
        <v>leticiacsleal@gmail.com</v>
      </c>
      <c r="O9" s="9">
        <f>IF(E9="Não",G9,VLOOKUP(C9,'Inscrições'!D:H,2,FALSE))</f>
        <v>35150</v>
      </c>
      <c r="P9" s="8" t="str">
        <f>IF(E9="Não",I9,VLOOKUP(C9,'Inscrições'!D:H,4,FALSE))</f>
        <v>ARIPUANÃ</v>
      </c>
    </row>
    <row r="10" ht="22.5" customHeight="1">
      <c r="A10" s="6">
        <v>45890.4022832176</v>
      </c>
      <c r="B10" s="7" t="s">
        <v>49</v>
      </c>
      <c r="C10" s="7" t="s">
        <v>50</v>
      </c>
      <c r="D10" s="7" t="s">
        <v>51</v>
      </c>
      <c r="E10" s="7" t="s">
        <v>19</v>
      </c>
      <c r="F10" s="8"/>
      <c r="G10" s="8"/>
      <c r="H10" s="8"/>
      <c r="I10" s="8"/>
      <c r="J10" s="8"/>
      <c r="K10" s="8"/>
      <c r="L10" s="8"/>
      <c r="M10" s="8"/>
      <c r="N10" s="8" t="str">
        <f>IF(E10="Não",F10,VLOOKUP(C10,'Inscrições'!D:I,6,FALSE))</f>
        <v>smec.bte-programas@brasnorte.mt.gov.br</v>
      </c>
      <c r="O10" s="9">
        <f>IF(E10="Não",G10,VLOOKUP(C10,'Inscrições'!D:H,2,FALSE))</f>
        <v>29112</v>
      </c>
      <c r="P10" s="8" t="str">
        <f>IF(E10="Não",I10,VLOOKUP(C10,'Inscrições'!D:H,4,FALSE))</f>
        <v>BRASNORTE</v>
      </c>
    </row>
    <row r="11" ht="22.5" customHeight="1">
      <c r="A11" s="6">
        <v>45890.402292743056</v>
      </c>
      <c r="B11" s="7" t="s">
        <v>52</v>
      </c>
      <c r="C11" s="7" t="s">
        <v>53</v>
      </c>
      <c r="D11" s="7" t="s">
        <v>54</v>
      </c>
      <c r="E11" s="7" t="s">
        <v>19</v>
      </c>
      <c r="F11" s="8"/>
      <c r="G11" s="8"/>
      <c r="H11" s="8"/>
      <c r="I11" s="8"/>
      <c r="J11" s="8"/>
      <c r="K11" s="8"/>
      <c r="L11" s="8"/>
      <c r="M11" s="8"/>
      <c r="N11" s="8" t="str">
        <f>IF(E11="Não",F11,VLOOKUP(C11,'Inscrições'!D:I,6,FALSE))</f>
        <v>rosimeire_pmcastanheira@hotmail.com</v>
      </c>
      <c r="O11" s="9">
        <f>IF(E11="Não",G11,VLOOKUP(C11,'Inscrições'!D:H,2,FALSE))</f>
        <v>28456</v>
      </c>
      <c r="P11" s="8" t="str">
        <f>IF(E11="Não",I11,VLOOKUP(C11,'Inscrições'!D:H,4,FALSE))</f>
        <v>CASTANHEIRA</v>
      </c>
    </row>
    <row r="12" ht="22.5" customHeight="1">
      <c r="A12" s="6">
        <v>45890.40316194444</v>
      </c>
      <c r="B12" s="7" t="s">
        <v>55</v>
      </c>
      <c r="C12" s="7" t="s">
        <v>56</v>
      </c>
      <c r="D12" s="7" t="s">
        <v>57</v>
      </c>
      <c r="E12" s="7" t="s">
        <v>29</v>
      </c>
      <c r="F12" s="7" t="s">
        <v>58</v>
      </c>
      <c r="G12" s="10">
        <v>32228.0</v>
      </c>
      <c r="H12" s="7" t="s">
        <v>57</v>
      </c>
      <c r="I12" s="7" t="s">
        <v>59</v>
      </c>
      <c r="J12" s="7" t="s">
        <v>60</v>
      </c>
      <c r="K12" s="7" t="s">
        <v>61</v>
      </c>
      <c r="L12" s="8"/>
      <c r="M12" s="8"/>
      <c r="N12" s="8" t="str">
        <f>IF(E12="Não",F12,VLOOKUP(C12,'Inscrições'!D:I,6,FALSE))</f>
        <v>luizsanches.lsc@gmail.com</v>
      </c>
      <c r="O12" s="11">
        <f>IF(E12="Não",G12,VLOOKUP(C12,'Inscrições'!D:H,2,FALSE))</f>
        <v>32228</v>
      </c>
      <c r="P12" s="8" t="str">
        <f>IF(E12="Não",I12,VLOOKUP(C12,'Inscrições'!D:H,4,FALSE))</f>
        <v>Porto dos Gaúchos</v>
      </c>
    </row>
    <row r="13" ht="22.5" customHeight="1">
      <c r="A13" s="6">
        <v>45890.40320545139</v>
      </c>
      <c r="B13" s="7" t="s">
        <v>62</v>
      </c>
      <c r="C13" s="7" t="s">
        <v>63</v>
      </c>
      <c r="D13" s="7" t="s">
        <v>64</v>
      </c>
      <c r="E13" s="7" t="s">
        <v>19</v>
      </c>
      <c r="F13" s="8"/>
      <c r="G13" s="8"/>
      <c r="H13" s="8"/>
      <c r="I13" s="8"/>
      <c r="J13" s="8"/>
      <c r="K13" s="8"/>
      <c r="L13" s="8"/>
      <c r="M13" s="8"/>
      <c r="N13" s="8" t="str">
        <f>IF(E13="Não",F13,VLOOKUP(C13,'Inscrições'!D:I,6,FALSE))</f>
        <v>satres@edu.aripuana.mt.gov.br</v>
      </c>
      <c r="O13" s="9">
        <f>IF(E13="Não",G13,VLOOKUP(C13,'Inscrições'!D:H,2,FALSE))</f>
        <v>32665</v>
      </c>
      <c r="P13" s="8" t="str">
        <f>IF(E13="Não",I13,VLOOKUP(C13,'Inscrições'!D:H,4,FALSE))</f>
        <v>ARIPUANÃ</v>
      </c>
    </row>
    <row r="14" ht="22.5" customHeight="1">
      <c r="A14" s="6">
        <v>45890.40329534722</v>
      </c>
      <c r="B14" s="7" t="s">
        <v>65</v>
      </c>
      <c r="C14" s="7" t="s">
        <v>66</v>
      </c>
      <c r="D14" s="7" t="s">
        <v>67</v>
      </c>
      <c r="E14" s="7" t="s">
        <v>29</v>
      </c>
      <c r="F14" s="7" t="s">
        <v>68</v>
      </c>
      <c r="G14" s="10">
        <v>32772.0</v>
      </c>
      <c r="H14" s="7" t="s">
        <v>67</v>
      </c>
      <c r="I14" s="7" t="s">
        <v>69</v>
      </c>
      <c r="J14" s="7" t="s">
        <v>60</v>
      </c>
      <c r="K14" s="7" t="s">
        <v>70</v>
      </c>
      <c r="L14" s="8"/>
      <c r="M14" s="8"/>
      <c r="N14" s="8" t="str">
        <f>IF(E14="Não",F14,VLOOKUP(C14,'Inscrições'!D:I,6,FALSE))</f>
        <v>raullsg43@gmail.com </v>
      </c>
      <c r="O14" s="11">
        <f>IF(E14="Não",G14,VLOOKUP(C14,'Inscrições'!D:H,2,FALSE))</f>
        <v>32772</v>
      </c>
      <c r="P14" s="8" t="str">
        <f>IF(E14="Não",I14,VLOOKUP(C14,'Inscrições'!D:H,4,FALSE))</f>
        <v>Juína </v>
      </c>
    </row>
    <row r="15" ht="22.5" customHeight="1">
      <c r="A15" s="6">
        <v>45890.40339575231</v>
      </c>
      <c r="B15" s="7" t="s">
        <v>71</v>
      </c>
      <c r="C15" s="7" t="s">
        <v>72</v>
      </c>
      <c r="D15" s="7" t="s">
        <v>73</v>
      </c>
      <c r="E15" s="7" t="s">
        <v>19</v>
      </c>
      <c r="F15" s="8"/>
      <c r="G15" s="8"/>
      <c r="H15" s="8"/>
      <c r="I15" s="8"/>
      <c r="J15" s="8"/>
      <c r="K15" s="8"/>
      <c r="L15" s="8"/>
      <c r="M15" s="8"/>
      <c r="N15" s="8" t="str">
        <f>IF(E15="Não",F15,VLOOKUP(C15,'Inscrições'!D:I,6,FALSE))</f>
        <v>gessica.silva@edu.juina.mt.gov.br</v>
      </c>
      <c r="O15" s="9">
        <f>IF(E15="Não",G15,VLOOKUP(C15,'Inscrições'!D:H,2,FALSE))</f>
        <v>36582</v>
      </c>
      <c r="P15" s="8" t="str">
        <f>IF(E15="Não",I15,VLOOKUP(C15,'Inscrições'!D:H,4,FALSE))</f>
        <v>JUÍNA</v>
      </c>
    </row>
    <row r="16" ht="22.5" customHeight="1">
      <c r="A16" s="6">
        <v>45890.40378559028</v>
      </c>
      <c r="B16" s="7" t="s">
        <v>74</v>
      </c>
      <c r="C16" s="7" t="s">
        <v>75</v>
      </c>
      <c r="D16" s="7" t="s">
        <v>76</v>
      </c>
      <c r="E16" s="7" t="s">
        <v>19</v>
      </c>
      <c r="F16" s="8"/>
      <c r="G16" s="8"/>
      <c r="H16" s="8"/>
      <c r="I16" s="8"/>
      <c r="J16" s="8"/>
      <c r="K16" s="8"/>
      <c r="L16" s="8"/>
      <c r="M16" s="8"/>
      <c r="N16" s="8" t="str">
        <f>IF(E16="Não",F16,VLOOKUP(C16,'Inscrições'!D:I,6,FALSE))</f>
        <v>claudetecasusade@gmail.com</v>
      </c>
      <c r="O16" s="9">
        <f>IF(E16="Não",G16,VLOOKUP(C16,'Inscrições'!D:H,2,FALSE))</f>
        <v>27886</v>
      </c>
      <c r="P16" s="8" t="str">
        <f>IF(E16="Não",I16,VLOOKUP(C16,'Inscrições'!D:H,4,FALSE))</f>
        <v>CASTANHEIRA</v>
      </c>
    </row>
    <row r="17" ht="22.5" customHeight="1">
      <c r="A17" s="6">
        <v>45890.404983078704</v>
      </c>
      <c r="B17" s="7" t="s">
        <v>77</v>
      </c>
      <c r="C17" s="7" t="s">
        <v>78</v>
      </c>
      <c r="D17" s="7" t="s">
        <v>79</v>
      </c>
      <c r="E17" s="7" t="s">
        <v>29</v>
      </c>
      <c r="F17" s="7" t="s">
        <v>80</v>
      </c>
      <c r="G17" s="10">
        <v>28392.0</v>
      </c>
      <c r="H17" s="7" t="s">
        <v>79</v>
      </c>
      <c r="I17" s="7" t="s">
        <v>81</v>
      </c>
      <c r="J17" s="7" t="s">
        <v>60</v>
      </c>
      <c r="K17" s="7" t="s">
        <v>82</v>
      </c>
      <c r="L17" s="8"/>
      <c r="M17" s="8"/>
      <c r="N17" s="8" t="str">
        <f>IF(E17="Não",F17,VLOOKUP(C17,'Inscrições'!D:I,6,FALSE))</f>
        <v>ildamirfaria@hotmail.com</v>
      </c>
      <c r="O17" s="11">
        <f>IF(E17="Não",G17,VLOOKUP(C17,'Inscrições'!D:H,2,FALSE))</f>
        <v>28392</v>
      </c>
      <c r="P17" s="8" t="str">
        <f>IF(E17="Não",I17,VLOOKUP(C17,'Inscrições'!D:H,4,FALSE))</f>
        <v>Juína - MT</v>
      </c>
    </row>
    <row r="18" ht="22.5" customHeight="1">
      <c r="A18" s="6">
        <v>45890.40536633102</v>
      </c>
      <c r="B18" s="7" t="s">
        <v>83</v>
      </c>
      <c r="C18" s="7" t="s">
        <v>84</v>
      </c>
      <c r="D18" s="7" t="s">
        <v>85</v>
      </c>
      <c r="E18" s="7" t="s">
        <v>19</v>
      </c>
      <c r="F18" s="8"/>
      <c r="G18" s="8"/>
      <c r="H18" s="8"/>
      <c r="I18" s="8"/>
      <c r="J18" s="8"/>
      <c r="K18" s="8"/>
      <c r="L18" s="8"/>
      <c r="M18" s="8"/>
      <c r="N18" s="8" t="str">
        <f>IF(E18="Não",F18,VLOOKUP(C18,'Inscrições'!D:I,6,FALSE))</f>
        <v>rakely_st@hotmail.com</v>
      </c>
      <c r="O18" s="9">
        <f>IF(E18="Não",G18,VLOOKUP(C18,'Inscrições'!D:H,2,FALSE))</f>
        <v>33914</v>
      </c>
      <c r="P18" s="8" t="str">
        <f>IF(E18="Não",I18,VLOOKUP(C18,'Inscrições'!D:H,4,FALSE))</f>
        <v>JURUENA</v>
      </c>
    </row>
    <row r="19" ht="22.5" customHeight="1">
      <c r="A19" s="6">
        <v>45890.40608252315</v>
      </c>
      <c r="B19" s="7" t="s">
        <v>86</v>
      </c>
      <c r="C19" s="7" t="s">
        <v>87</v>
      </c>
      <c r="D19" s="7" t="s">
        <v>88</v>
      </c>
      <c r="E19" s="7" t="s">
        <v>19</v>
      </c>
      <c r="F19" s="8"/>
      <c r="G19" s="8"/>
      <c r="H19" s="8"/>
      <c r="I19" s="8"/>
      <c r="J19" s="8"/>
      <c r="K19" s="8"/>
      <c r="L19" s="8"/>
      <c r="M19" s="8"/>
      <c r="N19" s="8" t="str">
        <f>IF(E19="Não",F19,VLOOKUP(C19,'Inscrições'!D:I,6,FALSE))</f>
        <v>ale.almeida2023@outlook.com</v>
      </c>
      <c r="O19" s="9">
        <f>IF(E19="Não",G19,VLOOKUP(C19,'Inscrições'!D:H,2,FALSE))</f>
        <v>28615</v>
      </c>
      <c r="P19" s="8" t="str">
        <f>IF(E19="Não",I19,VLOOKUP(C19,'Inscrições'!D:H,4,FALSE))</f>
        <v>JURUENA</v>
      </c>
    </row>
    <row r="20" ht="22.5" customHeight="1">
      <c r="A20" s="6">
        <v>45890.408848437495</v>
      </c>
      <c r="B20" s="7" t="s">
        <v>89</v>
      </c>
      <c r="C20" s="7" t="s">
        <v>90</v>
      </c>
      <c r="D20" s="7" t="s">
        <v>91</v>
      </c>
      <c r="E20" s="7" t="s">
        <v>29</v>
      </c>
      <c r="F20" s="7" t="s">
        <v>92</v>
      </c>
      <c r="G20" s="10">
        <v>31090.0</v>
      </c>
      <c r="H20" s="7" t="s">
        <v>91</v>
      </c>
      <c r="I20" s="7" t="s">
        <v>93</v>
      </c>
      <c r="J20" s="7" t="s">
        <v>60</v>
      </c>
      <c r="K20" s="7" t="s">
        <v>94</v>
      </c>
      <c r="L20" s="8"/>
      <c r="M20" s="8"/>
      <c r="N20" s="8" t="str">
        <f>IF(E20="Não",F20,VLOOKUP(C20,'Inscrições'!D:I,6,FALSE))</f>
        <v>Neiberstaut@hotmail.com</v>
      </c>
      <c r="O20" s="11">
        <f>IF(E20="Não",G20,VLOOKUP(C20,'Inscrições'!D:H,2,FALSE))</f>
        <v>31090</v>
      </c>
      <c r="P20" s="8" t="str">
        <f>IF(E20="Não",I20,VLOOKUP(C20,'Inscrições'!D:H,4,FALSE))</f>
        <v>Aripuanā </v>
      </c>
    </row>
    <row r="21" ht="22.5" customHeight="1">
      <c r="A21" s="6">
        <v>45890.41058210648</v>
      </c>
      <c r="B21" s="7" t="s">
        <v>95</v>
      </c>
      <c r="C21" s="7" t="s">
        <v>96</v>
      </c>
      <c r="D21" s="7" t="s">
        <v>97</v>
      </c>
      <c r="E21" s="7" t="s">
        <v>19</v>
      </c>
      <c r="F21" s="8"/>
      <c r="G21" s="8"/>
      <c r="H21" s="8"/>
      <c r="I21" s="8"/>
      <c r="J21" s="8"/>
      <c r="K21" s="8"/>
      <c r="L21" s="8"/>
      <c r="M21" s="8"/>
      <c r="N21" s="8" t="str">
        <f>IF(E21="Não",F21,VLOOKUP(C21,'Inscrições'!D:I,6,FALSE))</f>
        <v>nelson.c.menezes@gmail.com</v>
      </c>
      <c r="O21" s="9">
        <f>IF(E21="Não",G21,VLOOKUP(C21,'Inscrições'!D:H,2,FALSE))</f>
        <v>25081</v>
      </c>
      <c r="P21" s="8" t="str">
        <f>IF(E21="Não",I21,VLOOKUP(C21,'Inscrições'!D:H,4,FALSE))</f>
        <v>JURUENA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98</v>
      </c>
      <c r="C1" s="1" t="s">
        <v>1</v>
      </c>
      <c r="D1" s="1" t="s">
        <v>99</v>
      </c>
      <c r="E1" s="1" t="s">
        <v>6</v>
      </c>
      <c r="F1" s="1" t="s">
        <v>100</v>
      </c>
      <c r="G1" s="1" t="s">
        <v>8</v>
      </c>
      <c r="H1" s="1" t="s">
        <v>9</v>
      </c>
      <c r="I1" s="1" t="s">
        <v>101</v>
      </c>
      <c r="J1" s="1" t="s">
        <v>10</v>
      </c>
      <c r="K1" s="1" t="s">
        <v>11</v>
      </c>
      <c r="L1" s="1" t="s">
        <v>12</v>
      </c>
    </row>
    <row r="2" ht="22.5" customHeight="1">
      <c r="A2" s="13">
        <v>45874.64023535879</v>
      </c>
      <c r="B2" s="8" t="s">
        <v>102</v>
      </c>
      <c r="C2" s="8" t="s">
        <v>103</v>
      </c>
      <c r="D2" s="8" t="s">
        <v>87</v>
      </c>
      <c r="E2" s="9">
        <v>28615.0</v>
      </c>
      <c r="F2" s="8" t="s">
        <v>88</v>
      </c>
      <c r="G2" s="8" t="s">
        <v>104</v>
      </c>
      <c r="H2" s="8" t="s">
        <v>105</v>
      </c>
      <c r="I2" s="8" t="str">
        <f t="shared" ref="I2:I25" si="1">B2</f>
        <v>ale.almeida2023@outlook.com</v>
      </c>
      <c r="J2" s="8"/>
      <c r="K2" s="8"/>
      <c r="L2" s="8" t="s">
        <v>106</v>
      </c>
    </row>
    <row r="3" ht="22.5" customHeight="1">
      <c r="A3" s="13">
        <v>45888.50525869213</v>
      </c>
      <c r="B3" s="8" t="s">
        <v>102</v>
      </c>
      <c r="C3" s="8" t="s">
        <v>103</v>
      </c>
      <c r="D3" s="8" t="s">
        <v>87</v>
      </c>
      <c r="E3" s="9">
        <v>28615.0</v>
      </c>
      <c r="F3" s="8" t="s">
        <v>88</v>
      </c>
      <c r="G3" s="8" t="s">
        <v>104</v>
      </c>
      <c r="H3" s="8" t="s">
        <v>105</v>
      </c>
      <c r="I3" s="8" t="str">
        <f t="shared" si="1"/>
        <v>ale.almeida2023@outlook.com</v>
      </c>
      <c r="J3" s="8"/>
      <c r="K3" s="8"/>
      <c r="L3" s="8" t="s">
        <v>107</v>
      </c>
    </row>
    <row r="4" ht="22.5" customHeight="1">
      <c r="A4" s="13">
        <v>45877.45622155092</v>
      </c>
      <c r="B4" s="8" t="s">
        <v>108</v>
      </c>
      <c r="C4" s="8" t="s">
        <v>109</v>
      </c>
      <c r="D4" s="8" t="s">
        <v>24</v>
      </c>
      <c r="E4" s="9">
        <v>36627.0</v>
      </c>
      <c r="F4" s="8" t="s">
        <v>25</v>
      </c>
      <c r="G4" s="8" t="s">
        <v>110</v>
      </c>
      <c r="H4" s="8" t="s">
        <v>33</v>
      </c>
      <c r="I4" s="8" t="str">
        <f t="shared" si="1"/>
        <v>93richetti@gmail.com</v>
      </c>
      <c r="J4" s="8" t="s">
        <v>111</v>
      </c>
      <c r="K4" s="8"/>
      <c r="L4" s="8"/>
    </row>
    <row r="5" ht="22.5" customHeight="1">
      <c r="A5" s="13">
        <v>45887.37841798611</v>
      </c>
      <c r="B5" s="8" t="s">
        <v>112</v>
      </c>
      <c r="C5" s="8" t="s">
        <v>113</v>
      </c>
      <c r="D5" s="8" t="s">
        <v>114</v>
      </c>
      <c r="E5" s="9">
        <v>45887.0</v>
      </c>
      <c r="F5" s="8" t="s">
        <v>115</v>
      </c>
      <c r="G5" s="8" t="s">
        <v>38</v>
      </c>
      <c r="H5" s="8" t="s">
        <v>33</v>
      </c>
      <c r="I5" s="8" t="str">
        <f t="shared" si="1"/>
        <v>ana.dacol@castanheira.edu.mt.gov.br</v>
      </c>
      <c r="J5" s="8" t="s">
        <v>116</v>
      </c>
      <c r="K5" s="8" t="s">
        <v>117</v>
      </c>
      <c r="L5" s="8"/>
    </row>
    <row r="6" ht="22.5" customHeight="1">
      <c r="A6" s="13">
        <v>45877.45561039352</v>
      </c>
      <c r="B6" s="8" t="s">
        <v>118</v>
      </c>
      <c r="C6" s="8" t="s">
        <v>74</v>
      </c>
      <c r="D6" s="8" t="s">
        <v>75</v>
      </c>
      <c r="E6" s="9">
        <v>27886.0</v>
      </c>
      <c r="F6" s="8" t="s">
        <v>76</v>
      </c>
      <c r="G6" s="8" t="s">
        <v>38</v>
      </c>
      <c r="H6" s="8" t="s">
        <v>33</v>
      </c>
      <c r="I6" s="8" t="str">
        <f t="shared" si="1"/>
        <v>claudetecasusade@gmail.com</v>
      </c>
      <c r="J6" s="8" t="s">
        <v>119</v>
      </c>
      <c r="K6" s="8" t="s">
        <v>120</v>
      </c>
      <c r="L6" s="8"/>
    </row>
    <row r="7" ht="22.5" customHeight="1">
      <c r="A7" s="13">
        <v>45876.49950704861</v>
      </c>
      <c r="B7" s="8" t="s">
        <v>121</v>
      </c>
      <c r="C7" s="8" t="s">
        <v>122</v>
      </c>
      <c r="D7" s="8" t="s">
        <v>41</v>
      </c>
      <c r="E7" s="9">
        <v>34534.0</v>
      </c>
      <c r="F7" s="8" t="s">
        <v>42</v>
      </c>
      <c r="G7" s="8" t="s">
        <v>123</v>
      </c>
      <c r="H7" s="8" t="s">
        <v>105</v>
      </c>
      <c r="I7" s="8" t="str">
        <f t="shared" si="1"/>
        <v>projetos@edu.juina.mt.gov.br</v>
      </c>
      <c r="J7" s="8"/>
      <c r="K7" s="8"/>
      <c r="L7" s="8" t="s">
        <v>124</v>
      </c>
    </row>
    <row r="8" ht="22.5" customHeight="1">
      <c r="A8" s="13">
        <v>45888.62402930556</v>
      </c>
      <c r="B8" s="8" t="s">
        <v>125</v>
      </c>
      <c r="C8" s="8" t="s">
        <v>126</v>
      </c>
      <c r="D8" s="8" t="s">
        <v>127</v>
      </c>
      <c r="E8" s="9">
        <v>27434.0</v>
      </c>
      <c r="F8" s="8" t="s">
        <v>128</v>
      </c>
      <c r="G8" s="8" t="s">
        <v>129</v>
      </c>
      <c r="H8" s="8" t="s">
        <v>105</v>
      </c>
      <c r="I8" s="8" t="str">
        <f t="shared" si="1"/>
        <v>elisangelatorresaraujo@gmail.com</v>
      </c>
      <c r="J8" s="8"/>
      <c r="K8" s="8"/>
      <c r="L8" s="8" t="s">
        <v>106</v>
      </c>
    </row>
    <row r="9" ht="22.5" customHeight="1">
      <c r="A9" s="13">
        <v>45876.59148699074</v>
      </c>
      <c r="B9" s="8" t="s">
        <v>130</v>
      </c>
      <c r="C9" s="8" t="s">
        <v>71</v>
      </c>
      <c r="D9" s="8" t="s">
        <v>72</v>
      </c>
      <c r="E9" s="9">
        <v>36582.0</v>
      </c>
      <c r="F9" s="8" t="s">
        <v>131</v>
      </c>
      <c r="G9" s="8" t="s">
        <v>123</v>
      </c>
      <c r="H9" s="8" t="s">
        <v>33</v>
      </c>
      <c r="I9" s="8" t="str">
        <f t="shared" si="1"/>
        <v>gessica.silva@edu.juina.mt.gov.br</v>
      </c>
      <c r="J9" s="8" t="s">
        <v>132</v>
      </c>
      <c r="K9" s="8"/>
      <c r="L9" s="8"/>
    </row>
    <row r="10" ht="22.5" customHeight="1">
      <c r="A10" s="13">
        <v>45890.36803114583</v>
      </c>
      <c r="B10" s="8" t="s">
        <v>80</v>
      </c>
      <c r="C10" s="8" t="s">
        <v>77</v>
      </c>
      <c r="D10" s="8" t="s">
        <v>133</v>
      </c>
      <c r="E10" s="9">
        <v>28392.0</v>
      </c>
      <c r="F10" s="8" t="s">
        <v>79</v>
      </c>
      <c r="G10" s="8" t="s">
        <v>123</v>
      </c>
      <c r="H10" s="8" t="s">
        <v>33</v>
      </c>
      <c r="I10" s="8" t="str">
        <f t="shared" si="1"/>
        <v>ildamirfaria@hotmail.com</v>
      </c>
      <c r="J10" s="8" t="s">
        <v>134</v>
      </c>
      <c r="K10" s="8" t="s">
        <v>135</v>
      </c>
      <c r="L10" s="8"/>
    </row>
    <row r="11" ht="22.5" customHeight="1">
      <c r="A11" s="13">
        <v>45877.41581910879</v>
      </c>
      <c r="B11" s="8" t="s">
        <v>136</v>
      </c>
      <c r="C11" s="8" t="s">
        <v>137</v>
      </c>
      <c r="D11" s="8" t="s">
        <v>138</v>
      </c>
      <c r="E11" s="9">
        <v>33281.0</v>
      </c>
      <c r="F11" s="8" t="s">
        <v>139</v>
      </c>
      <c r="G11" s="8" t="s">
        <v>38</v>
      </c>
      <c r="H11" s="8" t="s">
        <v>105</v>
      </c>
      <c r="I11" s="8" t="str">
        <f t="shared" si="1"/>
        <v>jessicamacedo218@gmail.com</v>
      </c>
      <c r="J11" s="8"/>
      <c r="K11" s="8"/>
      <c r="L11" s="8" t="s">
        <v>140</v>
      </c>
    </row>
    <row r="12" ht="22.5" customHeight="1">
      <c r="A12" s="13">
        <v>45877.589101875</v>
      </c>
      <c r="B12" s="8" t="s">
        <v>141</v>
      </c>
      <c r="C12" s="8" t="s">
        <v>142</v>
      </c>
      <c r="D12" s="8" t="s">
        <v>143</v>
      </c>
      <c r="E12" s="9">
        <v>27631.0</v>
      </c>
      <c r="F12" s="8" t="s">
        <v>144</v>
      </c>
      <c r="G12" s="8" t="s">
        <v>110</v>
      </c>
      <c r="H12" s="8" t="s">
        <v>105</v>
      </c>
      <c r="I12" s="8" t="str">
        <f t="shared" si="1"/>
        <v>jocelijesus@hotmail.com</v>
      </c>
      <c r="J12" s="8"/>
      <c r="K12" s="8"/>
      <c r="L12" s="8" t="s">
        <v>145</v>
      </c>
    </row>
    <row r="13" ht="22.5" customHeight="1">
      <c r="A13" s="13">
        <v>45875.44104445602</v>
      </c>
      <c r="B13" s="8" t="s">
        <v>146</v>
      </c>
      <c r="C13" s="8" t="s">
        <v>147</v>
      </c>
      <c r="D13" s="8" t="s">
        <v>63</v>
      </c>
      <c r="E13" s="9">
        <v>32665.0</v>
      </c>
      <c r="F13" s="8" t="s">
        <v>64</v>
      </c>
      <c r="G13" s="8" t="s">
        <v>148</v>
      </c>
      <c r="H13" s="8" t="s">
        <v>33</v>
      </c>
      <c r="I13" s="8" t="str">
        <f t="shared" si="1"/>
        <v>satres@edu.aripuana.mt.gov.br</v>
      </c>
      <c r="J13" s="8" t="s">
        <v>149</v>
      </c>
      <c r="K13" s="8"/>
      <c r="L13" s="8"/>
    </row>
    <row r="14" ht="22.5" customHeight="1">
      <c r="A14" s="13">
        <v>45889.47194350694</v>
      </c>
      <c r="B14" s="8" t="s">
        <v>150</v>
      </c>
      <c r="C14" s="8" t="s">
        <v>151</v>
      </c>
      <c r="D14" s="8" t="s">
        <v>50</v>
      </c>
      <c r="E14" s="9">
        <v>29112.0</v>
      </c>
      <c r="F14" s="8" t="s">
        <v>51</v>
      </c>
      <c r="G14" s="8" t="s">
        <v>129</v>
      </c>
      <c r="H14" s="8" t="s">
        <v>33</v>
      </c>
      <c r="I14" s="8" t="str">
        <f t="shared" si="1"/>
        <v>smec.bte-programas@brasnorte.mt.gov.br</v>
      </c>
      <c r="J14" s="8" t="s">
        <v>152</v>
      </c>
      <c r="K14" s="8"/>
      <c r="L14" s="8"/>
    </row>
    <row r="15" ht="22.5" customHeight="1">
      <c r="A15" s="13">
        <v>45873.4563537037</v>
      </c>
      <c r="B15" s="8" t="s">
        <v>153</v>
      </c>
      <c r="C15" s="8" t="s">
        <v>46</v>
      </c>
      <c r="D15" s="8" t="s">
        <v>47</v>
      </c>
      <c r="E15" s="9">
        <v>35150.0</v>
      </c>
      <c r="F15" s="8" t="s">
        <v>48</v>
      </c>
      <c r="G15" s="8" t="s">
        <v>148</v>
      </c>
      <c r="H15" s="8" t="s">
        <v>105</v>
      </c>
      <c r="I15" s="8" t="str">
        <f t="shared" si="1"/>
        <v>leticiacsleal@gmail.com</v>
      </c>
      <c r="J15" s="8"/>
      <c r="K15" s="8"/>
      <c r="L15" s="8" t="s">
        <v>154</v>
      </c>
    </row>
    <row r="16" ht="22.5" customHeight="1">
      <c r="A16" s="13">
        <v>45874.44248921296</v>
      </c>
      <c r="B16" s="8" t="s">
        <v>155</v>
      </c>
      <c r="C16" s="8" t="s">
        <v>156</v>
      </c>
      <c r="D16" s="8" t="s">
        <v>157</v>
      </c>
      <c r="E16" s="9">
        <v>27092.0</v>
      </c>
      <c r="F16" s="8" t="s">
        <v>158</v>
      </c>
      <c r="G16" s="8" t="s">
        <v>38</v>
      </c>
      <c r="H16" s="8" t="s">
        <v>33</v>
      </c>
      <c r="I16" s="8" t="str">
        <f t="shared" si="1"/>
        <v>loroprof@hotmail.com</v>
      </c>
      <c r="J16" s="8" t="s">
        <v>159</v>
      </c>
      <c r="K16" s="8" t="s">
        <v>160</v>
      </c>
      <c r="L16" s="8"/>
    </row>
    <row r="17" ht="22.5" customHeight="1">
      <c r="A17" s="13">
        <v>45880.35832680555</v>
      </c>
      <c r="B17" s="8" t="s">
        <v>58</v>
      </c>
      <c r="C17" s="8" t="s">
        <v>161</v>
      </c>
      <c r="D17" s="8" t="s">
        <v>162</v>
      </c>
      <c r="E17" s="9">
        <v>32228.0</v>
      </c>
      <c r="F17" s="8" t="s">
        <v>57</v>
      </c>
      <c r="G17" s="8" t="s">
        <v>163</v>
      </c>
      <c r="H17" s="8" t="s">
        <v>33</v>
      </c>
      <c r="I17" s="8" t="str">
        <f t="shared" si="1"/>
        <v>luizsanches.lsc@gmail.com</v>
      </c>
      <c r="J17" s="8" t="s">
        <v>164</v>
      </c>
      <c r="K17" s="8" t="s">
        <v>165</v>
      </c>
      <c r="L17" s="8"/>
    </row>
    <row r="18" ht="22.5" customHeight="1">
      <c r="A18" s="13">
        <v>45880.48231578704</v>
      </c>
      <c r="B18" s="8" t="s">
        <v>166</v>
      </c>
      <c r="C18" s="8" t="s">
        <v>167</v>
      </c>
      <c r="D18" s="8" t="s">
        <v>168</v>
      </c>
      <c r="E18" s="9">
        <v>29717.0</v>
      </c>
      <c r="F18" s="8" t="s">
        <v>169</v>
      </c>
      <c r="G18" s="8" t="s">
        <v>163</v>
      </c>
      <c r="H18" s="8" t="s">
        <v>105</v>
      </c>
      <c r="I18" s="8" t="str">
        <f t="shared" si="1"/>
        <v>maria@edu.portodosgauchos.mt.gov.br</v>
      </c>
      <c r="J18" s="8"/>
      <c r="K18" s="8"/>
      <c r="L18" s="8" t="s">
        <v>170</v>
      </c>
    </row>
    <row r="19" ht="22.5" customHeight="1">
      <c r="A19" s="13">
        <v>45874.43167853009</v>
      </c>
      <c r="B19" s="8" t="s">
        <v>171</v>
      </c>
      <c r="C19" s="8" t="s">
        <v>172</v>
      </c>
      <c r="D19" s="8" t="s">
        <v>96</v>
      </c>
      <c r="E19" s="9">
        <v>25081.0</v>
      </c>
      <c r="F19" s="8" t="s">
        <v>97</v>
      </c>
      <c r="G19" s="8" t="s">
        <v>104</v>
      </c>
      <c r="H19" s="8" t="s">
        <v>33</v>
      </c>
      <c r="I19" s="8" t="str">
        <f t="shared" si="1"/>
        <v>nelson.c.menezes@gmail.com</v>
      </c>
      <c r="J19" s="8" t="s">
        <v>173</v>
      </c>
      <c r="K19" s="8"/>
      <c r="L19" s="8"/>
    </row>
    <row r="20" ht="22.5" customHeight="1">
      <c r="A20" s="13">
        <v>45880.68485561342</v>
      </c>
      <c r="B20" s="8" t="s">
        <v>174</v>
      </c>
      <c r="C20" s="8" t="s">
        <v>175</v>
      </c>
      <c r="D20" s="8" t="s">
        <v>17</v>
      </c>
      <c r="E20" s="9">
        <v>26465.0</v>
      </c>
      <c r="F20" s="8" t="s">
        <v>18</v>
      </c>
      <c r="G20" s="8" t="s">
        <v>110</v>
      </c>
      <c r="H20" s="8" t="s">
        <v>105</v>
      </c>
      <c r="I20" s="8" t="str">
        <f t="shared" si="1"/>
        <v>paulopfernando@hotmail.com</v>
      </c>
      <c r="J20" s="8"/>
      <c r="K20" s="8"/>
      <c r="L20" s="8" t="s">
        <v>176</v>
      </c>
    </row>
    <row r="21" ht="22.5" customHeight="1">
      <c r="A21" s="13">
        <v>45875.46322766204</v>
      </c>
      <c r="B21" s="8" t="s">
        <v>177</v>
      </c>
      <c r="C21" s="8" t="s">
        <v>178</v>
      </c>
      <c r="D21" s="8" t="s">
        <v>84</v>
      </c>
      <c r="E21" s="9">
        <v>33914.0</v>
      </c>
      <c r="F21" s="8" t="s">
        <v>85</v>
      </c>
      <c r="G21" s="8" t="s">
        <v>104</v>
      </c>
      <c r="H21" s="8" t="s">
        <v>33</v>
      </c>
      <c r="I21" s="8" t="str">
        <f t="shared" si="1"/>
        <v>rakely_st@hotmail.com</v>
      </c>
      <c r="J21" s="8" t="s">
        <v>179</v>
      </c>
      <c r="K21" s="8"/>
      <c r="L21" s="8"/>
    </row>
    <row r="22" ht="22.5" customHeight="1">
      <c r="A22" s="13">
        <v>45873.62018246528</v>
      </c>
      <c r="B22" s="8" t="s">
        <v>180</v>
      </c>
      <c r="C22" s="8" t="s">
        <v>20</v>
      </c>
      <c r="D22" s="8" t="s">
        <v>21</v>
      </c>
      <c r="E22" s="9">
        <v>38754.0</v>
      </c>
      <c r="F22" s="8" t="s">
        <v>22</v>
      </c>
      <c r="G22" s="8" t="s">
        <v>181</v>
      </c>
      <c r="H22" s="8" t="s">
        <v>33</v>
      </c>
      <c r="I22" s="8" t="str">
        <f t="shared" si="1"/>
        <v>robertdiglio@gmail.com</v>
      </c>
      <c r="J22" s="8" t="s">
        <v>182</v>
      </c>
      <c r="K22" s="8"/>
      <c r="L22" s="8"/>
    </row>
    <row r="23" ht="22.5" customHeight="1">
      <c r="A23" s="13">
        <v>45889.47578767361</v>
      </c>
      <c r="B23" s="8" t="s">
        <v>183</v>
      </c>
      <c r="C23" s="8" t="s">
        <v>184</v>
      </c>
      <c r="D23" s="8" t="s">
        <v>44</v>
      </c>
      <c r="E23" s="9">
        <v>32764.0</v>
      </c>
      <c r="F23" s="8" t="s">
        <v>45</v>
      </c>
      <c r="G23" s="8" t="s">
        <v>129</v>
      </c>
      <c r="H23" s="8" t="s">
        <v>33</v>
      </c>
      <c r="I23" s="8" t="str">
        <f t="shared" si="1"/>
        <v>robson.natan.leite@gmail.com</v>
      </c>
      <c r="J23" s="8" t="s">
        <v>185</v>
      </c>
      <c r="K23" s="8"/>
      <c r="L23" s="8"/>
    </row>
    <row r="24" ht="22.5" customHeight="1">
      <c r="A24" s="13">
        <v>45889.6341812037</v>
      </c>
      <c r="B24" s="8" t="s">
        <v>186</v>
      </c>
      <c r="C24" s="8" t="s">
        <v>187</v>
      </c>
      <c r="D24" s="8" t="s">
        <v>53</v>
      </c>
      <c r="E24" s="9">
        <v>28456.0</v>
      </c>
      <c r="F24" s="8" t="s">
        <v>54</v>
      </c>
      <c r="G24" s="8" t="s">
        <v>38</v>
      </c>
      <c r="H24" s="8" t="s">
        <v>33</v>
      </c>
      <c r="I24" s="8" t="str">
        <f t="shared" si="1"/>
        <v>rosimeire_pmcastanheira@hotmail.com</v>
      </c>
      <c r="J24" s="8" t="s">
        <v>188</v>
      </c>
      <c r="K24" s="8"/>
      <c r="L24" s="8"/>
    </row>
    <row r="25" ht="22.5" customHeight="1">
      <c r="A25" s="13">
        <v>45875.696681747686</v>
      </c>
      <c r="B25" s="8" t="s">
        <v>189</v>
      </c>
      <c r="C25" s="8" t="s">
        <v>190</v>
      </c>
      <c r="D25" s="8" t="s">
        <v>191</v>
      </c>
      <c r="E25" s="9">
        <v>28213.0</v>
      </c>
      <c r="F25" s="8" t="s">
        <v>192</v>
      </c>
      <c r="G25" s="8" t="s">
        <v>181</v>
      </c>
      <c r="H25" s="8" t="s">
        <v>105</v>
      </c>
      <c r="I25" s="8" t="str">
        <f t="shared" si="1"/>
        <v>cacs-fundeb@colniza.mt.gov.br</v>
      </c>
      <c r="J25" s="8"/>
      <c r="K25" s="8"/>
      <c r="L25" s="8" t="s">
        <v>193</v>
      </c>
    </row>
  </sheetData>
  <drawing r:id="rId1"/>
  <tableParts count="1">
    <tablePart r:id="rId3"/>
  </tableParts>
</worksheet>
</file>