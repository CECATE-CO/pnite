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Confirmação e-mail" sheetId="2" r:id="rId6"/>
    <sheet state="visible" name="Controle" sheetId="3" r:id="rId7"/>
    <sheet state="visible" name="Datas" sheetId="4" r:id="rId8"/>
  </sheets>
  <definedNames>
    <definedName hidden="1" localSheetId="2" name="_xlnm._FilterDatabase">Controle!$B$1:$E$27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O respondente atualizou este valor.</t>
      </text>
    </comment>
    <comment authorId="0" ref="I5">
      <text>
        <t xml:space="preserve">O respondente atualizou este valor.</t>
      </text>
    </comment>
  </commentList>
</comments>
</file>

<file path=xl/sharedStrings.xml><?xml version="1.0" encoding="utf-8"?>
<sst xmlns="http://schemas.openxmlformats.org/spreadsheetml/2006/main" count="861" uniqueCount="332">
  <si>
    <t xml:space="preserve">Bom </t>
  </si>
  <si>
    <t>NOME</t>
  </si>
  <si>
    <t>DIST(km)</t>
  </si>
  <si>
    <t>CACS-FUNDEB</t>
  </si>
  <si>
    <t>Gestão municipal</t>
  </si>
  <si>
    <t>CLÁUDIA</t>
  </si>
  <si>
    <t>Carimbo de data/hora</t>
  </si>
  <si>
    <t>Endereço de e-mail</t>
  </si>
  <si>
    <t>Nome Completo:</t>
  </si>
  <si>
    <t>CPF</t>
  </si>
  <si>
    <t>Data de Nascimento</t>
  </si>
  <si>
    <t>Telefone (XX)XXXXX-XXXX</t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</si>
  <si>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</si>
  <si>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</si>
  <si>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</si>
  <si>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</si>
  <si>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</si>
  <si>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Coluna 11</t>
  </si>
  <si>
    <t>Data</t>
  </si>
  <si>
    <t>lilianekovaleski_fn@hotmail.com</t>
  </si>
  <si>
    <t>LILIANE KOVALESKI DEVETAK</t>
  </si>
  <si>
    <t>003.644.911-32</t>
  </si>
  <si>
    <t>(66)99959-7479</t>
  </si>
  <si>
    <t>FELIZ NATAL</t>
  </si>
  <si>
    <t>MEMBRO</t>
  </si>
  <si>
    <t>rosangelatricolman@gmail.com</t>
  </si>
  <si>
    <t xml:space="preserve">Rosangela Triburtino Colman Barbiero </t>
  </si>
  <si>
    <t>019.191.411-89</t>
  </si>
  <si>
    <t>(66)99630-2479</t>
  </si>
  <si>
    <t xml:space="preserve">Presidente </t>
  </si>
  <si>
    <t>irafsilva@hotmail.com</t>
  </si>
  <si>
    <t>Iracema de Fatima da Silva</t>
  </si>
  <si>
    <t>435.059.379-91</t>
  </si>
  <si>
    <t>(66)99684-9622</t>
  </si>
  <si>
    <t>tecnica</t>
  </si>
  <si>
    <t>membro</t>
  </si>
  <si>
    <t>cristinabryan140@gmail.com</t>
  </si>
  <si>
    <t xml:space="preserve">Ana Cristina Silva valente </t>
  </si>
  <si>
    <t>011.159.092-23</t>
  </si>
  <si>
    <t>(66)99256-4288</t>
  </si>
  <si>
    <t>MATUPÁ</t>
  </si>
  <si>
    <t>supervisora do transporte escolar</t>
  </si>
  <si>
    <t>o nosso sucesso e estar atingindo o numero da nossa frota todos os veiculos com ar-condicionado, sendo que todos e frota própria.</t>
  </si>
  <si>
    <t>daianar775@gmail.com</t>
  </si>
  <si>
    <t>Daiana Ribeiro Reis Barbosa</t>
  </si>
  <si>
    <t>058.310.541-60</t>
  </si>
  <si>
    <t>(66)99622-4787</t>
  </si>
  <si>
    <t xml:space="preserve">Coordenador de departamento </t>
  </si>
  <si>
    <t>dianbattisti@hotmail.com</t>
  </si>
  <si>
    <t>DIAN CARLA BATTISTI PIT</t>
  </si>
  <si>
    <t>031.367.381-01</t>
  </si>
  <si>
    <t>(66)98433-1211</t>
  </si>
  <si>
    <t>NOVA GUARITA</t>
  </si>
  <si>
    <t>Assistente Administrativo e técnica educacional</t>
  </si>
  <si>
    <t>karinabarros772@gmail.com</t>
  </si>
  <si>
    <t>KARINA RITA DE BARROS</t>
  </si>
  <si>
    <t>062.569.491-02</t>
  </si>
  <si>
    <t>(66)98128-9477</t>
  </si>
  <si>
    <t>NOVA MARINGÁ</t>
  </si>
  <si>
    <t>COLÍDER</t>
  </si>
  <si>
    <t>REPRESENTANTE TÉCNICO ADMINISTRATIVO</t>
  </si>
  <si>
    <t>deibsoncampos@hotmail.com</t>
  </si>
  <si>
    <t>Deibson Clei de Campos</t>
  </si>
  <si>
    <t>000.733.161-48</t>
  </si>
  <si>
    <t>(66)98115-9365</t>
  </si>
  <si>
    <t>Gerente de Frotas</t>
  </si>
  <si>
    <t>anaclaudiagermano26@gmail.com</t>
  </si>
  <si>
    <t xml:space="preserve">Ana Claudia Germano Alves </t>
  </si>
  <si>
    <t>047.152.811-04</t>
  </si>
  <si>
    <t>(66)98470-1708</t>
  </si>
  <si>
    <t>ITANHANGÁ</t>
  </si>
  <si>
    <t>neussania.oliveira@itanhanga.edu.mt.gov.br</t>
  </si>
  <si>
    <t>Neussania Silva de Oliveira</t>
  </si>
  <si>
    <t>818.354.421-53</t>
  </si>
  <si>
    <t>(66)98453-5699</t>
  </si>
  <si>
    <t xml:space="preserve">técnico transcolar </t>
  </si>
  <si>
    <t>adriana.aparecida1213@gmail.com</t>
  </si>
  <si>
    <t xml:space="preserve">Adriana Aparecida da Silva </t>
  </si>
  <si>
    <t>Cidade</t>
  </si>
  <si>
    <t>046.567.311-29</t>
  </si>
  <si>
    <t>(66)98405-5326</t>
  </si>
  <si>
    <t xml:space="preserve">DIRETOR DE DEPARTAMENTO </t>
  </si>
  <si>
    <t>dulcineia.cabral@guarantadonorte.edu.mt.gov.br</t>
  </si>
  <si>
    <t>DULCINEIA MATHIAS CABRAL</t>
  </si>
  <si>
    <t>023.068.921-30</t>
  </si>
  <si>
    <t>(66)98467-3867</t>
  </si>
  <si>
    <t>GUARANTÃ DO NORTE</t>
  </si>
  <si>
    <t xml:space="preserve">TEC administrativa responsável pelo sistema </t>
  </si>
  <si>
    <t>mony.fer@hotmail.com</t>
  </si>
  <si>
    <t>Simony Fernanda Fontana Palenschi</t>
  </si>
  <si>
    <t>016.236.381-86</t>
  </si>
  <si>
    <t>(66)99657-2254</t>
  </si>
  <si>
    <t>Técnica de Prestação de contas PNATE e Caminho da Escola</t>
  </si>
  <si>
    <t>Não</t>
  </si>
  <si>
    <t>se.educa@itanhanga.mt.gov.br</t>
  </si>
  <si>
    <t xml:space="preserve">Silvana Maria Dalmolin Wöhl </t>
  </si>
  <si>
    <t>019.526.759-10</t>
  </si>
  <si>
    <t>(66)98412-4026</t>
  </si>
  <si>
    <t xml:space="preserve">Secretária </t>
  </si>
  <si>
    <t>Ainda não...</t>
  </si>
  <si>
    <t>aldenimachado2@gmail.com</t>
  </si>
  <si>
    <t>aldeni morais machado santana</t>
  </si>
  <si>
    <t>042.871.251-77</t>
  </si>
  <si>
    <t>(66)99931-4023</t>
  </si>
  <si>
    <t>assesor de gabinete</t>
  </si>
  <si>
    <t>marcelo.gemeos@outlook.com</t>
  </si>
  <si>
    <t>MARCELO VACARO DE AQUINO</t>
  </si>
  <si>
    <t>972.706.101-00</t>
  </si>
  <si>
    <t>(66)99675-7252</t>
  </si>
  <si>
    <t>COMPRAS/ TRANSCOLAR</t>
  </si>
  <si>
    <t>CLÁUDIA </t>
  </si>
  <si>
    <t>flavia.lopes@edu.colider.mt.gov.br</t>
  </si>
  <si>
    <t>Flávia Corrêa da Silveira Lopes</t>
  </si>
  <si>
    <t>963.391.101-00</t>
  </si>
  <si>
    <t>(66)99625-9414</t>
  </si>
  <si>
    <t>Representante do Poder Executivo - Secretaria Municipal de Educação</t>
  </si>
  <si>
    <t>marinaldo_bio@hotmail.com</t>
  </si>
  <si>
    <t>MARINALDO BATISTA SILVA</t>
  </si>
  <si>
    <t>631.914.661-34</t>
  </si>
  <si>
    <t>(66)99663-1117</t>
  </si>
  <si>
    <t>SANTA CARMEM</t>
  </si>
  <si>
    <t>PRESIDENTE</t>
  </si>
  <si>
    <t>lucivanimarangoniperuzzo@yahoo.com.br</t>
  </si>
  <si>
    <t>Lucivani Marangoni Peruzzo</t>
  </si>
  <si>
    <t>031.834.809-80</t>
  </si>
  <si>
    <t>(66)99205-3703</t>
  </si>
  <si>
    <t>UNIÃO DO SUL</t>
  </si>
  <si>
    <t>Gestão do Transcolar</t>
  </si>
  <si>
    <t xml:space="preserve">Em parceria com os motoristas do transporte escolar, gestão, direção, coordenação, secretaria escolar, pais de alunos conseguimos georreferenciar 100% dos alunos. </t>
  </si>
  <si>
    <t>rosiane.lima@edu.mt.gov.br</t>
  </si>
  <si>
    <t>Rosiane Aparecida Pereira de Lima</t>
  </si>
  <si>
    <t>048.622.131-89</t>
  </si>
  <si>
    <t>(66)99248-5664</t>
  </si>
  <si>
    <t>Presidente do Conselho CASC-FUNDEB</t>
  </si>
  <si>
    <t>chambo_@hotmail.com</t>
  </si>
  <si>
    <t>VANIA CONCEIÇÃO DE SOUZA CHAMBO</t>
  </si>
  <si>
    <t>915.060.421-04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</si>
  <si>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</si>
  <si>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(66)99956-2229</t>
  </si>
  <si>
    <t>PEIXOTO DE AZEVEDO</t>
  </si>
  <si>
    <t>debora_ge11@hotmail.com</t>
  </si>
  <si>
    <t>Debora Goncalves Lopes Nogueira</t>
  </si>
  <si>
    <t>038.659.701-41</t>
  </si>
  <si>
    <t>(66)99979-9337</t>
  </si>
  <si>
    <t>Representante do poder executivo municipal</t>
  </si>
  <si>
    <t>rosieiredevianavitor@gmail.com</t>
  </si>
  <si>
    <t>ROSIE IREDE VIANA VITOR</t>
  </si>
  <si>
    <t>928.811.491-20</t>
  </si>
  <si>
    <t>(66)99662-5421</t>
  </si>
  <si>
    <t xml:space="preserve">TÉCNICA ADMINISTRATIVA </t>
  </si>
  <si>
    <t>matosjarlene5@gmail.com</t>
  </si>
  <si>
    <t xml:space="preserve">Jarlene Maria Silva Matos </t>
  </si>
  <si>
    <t>044.378.578-97</t>
  </si>
  <si>
    <t>(66)99966-6774</t>
  </si>
  <si>
    <t xml:space="preserve">Técnica do transporte escolar </t>
  </si>
  <si>
    <t>Alcance no georefeciamento com exito com 100% na rede municipal e estadual.</t>
  </si>
  <si>
    <t>antoniolopesdepaulanatan@gmail.com</t>
  </si>
  <si>
    <t>Natan Antonio Lopes de Paula</t>
  </si>
  <si>
    <t>062.166.941-54</t>
  </si>
  <si>
    <t>(66)99257-6097</t>
  </si>
  <si>
    <t>SINOP</t>
  </si>
  <si>
    <t>tecnico administrativo</t>
  </si>
  <si>
    <t>pauloslped@hotmail.com</t>
  </si>
  <si>
    <t xml:space="preserve">Paulo Sérgio leite </t>
  </si>
  <si>
    <t>655.744.511-15</t>
  </si>
  <si>
    <t>(66)99999-0901</t>
  </si>
  <si>
    <t>TERRA NOVA DO NORTE</t>
  </si>
  <si>
    <t>jeffersonmarcolinii@hotmail.com</t>
  </si>
  <si>
    <t xml:space="preserve">Jefferson Henkes Marcolini </t>
  </si>
  <si>
    <t>039.855.061-16</t>
  </si>
  <si>
    <t>(66)99624-2997</t>
  </si>
  <si>
    <t>Secretário Adjunto</t>
  </si>
  <si>
    <t>veruskagoncalves@hotmail.com</t>
  </si>
  <si>
    <t>Veruska Aparecida Gonçalves</t>
  </si>
  <si>
    <t>592.558.971-87</t>
  </si>
  <si>
    <t>(66)99906-1722</t>
  </si>
  <si>
    <t>NOVA UBIRATÃ</t>
  </si>
  <si>
    <t xml:space="preserve">GESTÃO TRANSPORTE </t>
  </si>
  <si>
    <t>gisellifujimori@gmail.com</t>
  </si>
  <si>
    <t>Giselli Satiko Toyomoto Fujimori</t>
  </si>
  <si>
    <t>064.633.091-84</t>
  </si>
  <si>
    <t>(66)99221-0876</t>
  </si>
  <si>
    <t>Técnico do transcolar</t>
  </si>
  <si>
    <t>ivetebergamini@hotmail.com</t>
  </si>
  <si>
    <t>IVETE SCHNEIDER BERGAMINI</t>
  </si>
  <si>
    <t>905.312.641-49</t>
  </si>
  <si>
    <t>(66)99917-4443</t>
  </si>
  <si>
    <t>IPIRANGA DO NORTE</t>
  </si>
  <si>
    <t>SECRETÁRIA DE EDUCAÇÃO</t>
  </si>
  <si>
    <t>ônibus quase todos novos</t>
  </si>
  <si>
    <t>claudimiro.freitas@edu.mt.gov.br</t>
  </si>
  <si>
    <t>Claudimiro Neves de Freitas</t>
  </si>
  <si>
    <t>021.934.271-78</t>
  </si>
  <si>
    <t>(66)99997-2630</t>
  </si>
  <si>
    <t>Professor Técnico de Regime de colaboração com os Municípios</t>
  </si>
  <si>
    <t>educacao@marcelandia.mt.gov.br</t>
  </si>
  <si>
    <t>Sandra Borsari</t>
  </si>
  <si>
    <t>029.829.039-11</t>
  </si>
  <si>
    <t>(66)99673-4425</t>
  </si>
  <si>
    <t>MARCELÂNDIA</t>
  </si>
  <si>
    <t>Secretária de Educação</t>
  </si>
  <si>
    <t>ITAÚBA</t>
  </si>
  <si>
    <t>Sandra Belusso Casagrande</t>
  </si>
  <si>
    <t>933.784.590-34</t>
  </si>
  <si>
    <t>(66)99969-8914</t>
  </si>
  <si>
    <t>Técnica Administrativa Educacional</t>
  </si>
  <si>
    <t>Ana Claudia Dalmolin</t>
  </si>
  <si>
    <t>039.487.011-56</t>
  </si>
  <si>
    <t>(66)99660-6600</t>
  </si>
  <si>
    <t>Presidente do Conselho do FUNDEB</t>
  </si>
  <si>
    <t>LUCAS DO RIO VERDE</t>
  </si>
  <si>
    <t>Ana Paula Tavares da Camara Canguçu</t>
  </si>
  <si>
    <t>031.269.751-19</t>
  </si>
  <si>
    <t>(66)99724-7789</t>
  </si>
  <si>
    <t>noadir.funez@edu.mt.gov.br</t>
  </si>
  <si>
    <t>Noadir Josenira Tedesco Funez</t>
  </si>
  <si>
    <t>768.855.340-00</t>
  </si>
  <si>
    <t>(66)99985-6712</t>
  </si>
  <si>
    <t>SORRISO</t>
  </si>
  <si>
    <t>Secretaria executiva</t>
  </si>
  <si>
    <t>transporte@educa.novomundo.mt.gov.br</t>
  </si>
  <si>
    <t>Oteniel de Jesus Santos</t>
  </si>
  <si>
    <t>740.979.112-87</t>
  </si>
  <si>
    <t>(66)99202-8229</t>
  </si>
  <si>
    <t>NOVO MUNDO</t>
  </si>
  <si>
    <t>Chefe da Divisão do Transporte Escolar</t>
  </si>
  <si>
    <t>Em relação a comunicação com os pais dos alunos na captura da geolocalização. Nosso município desenvolveu um sistema para capturar automaticamente todas as informações do aluno e responsável e sua geolocalização. Enviamos para os pais um link de um formulário, onde os responsáveis preenchem com nome completo, nome do aluno, nome da escola e turma. O  próprio formulário captura a localização atual no ato do preenchimento. Quando o formulário é submetido, todas as informações são enviadas para o WhatsApp do gestor agilizando a comunicação e atualização das informações no sistema. Antes as conversas do WhatsApp eram relativamente longas, onde pediamos o nome, depois de obter a resposta era nos eviado a escola e turma e assim por diante. Com o formulário tudo é enviado de uma só vez. Caso queiram conferir o link é:  https://transporte-escolar-2025.vercel.app</t>
  </si>
  <si>
    <t>sec.educacao@novomundo.mt.gov.br</t>
  </si>
  <si>
    <t>Denise Bortolozzo Dalazen</t>
  </si>
  <si>
    <t>534.183.109-82</t>
  </si>
  <si>
    <t>(66)99292-5879</t>
  </si>
  <si>
    <t>Técnica Prestação de Contas PDDE</t>
  </si>
  <si>
    <t>gersoncandidoribeiro1425@gmail.com</t>
  </si>
  <si>
    <t xml:space="preserve">Gerson Cândido Ribeiro </t>
  </si>
  <si>
    <t>625.283.431-91</t>
  </si>
  <si>
    <t>(66)99649-4549</t>
  </si>
  <si>
    <t xml:space="preserve">Diretor de departamento </t>
  </si>
  <si>
    <t>dorivalgomesmot17@gmail.com</t>
  </si>
  <si>
    <t xml:space="preserve">Dorival Gomes de Souza </t>
  </si>
  <si>
    <t>925.508.511-53</t>
  </si>
  <si>
    <t>(66)98427-1575</t>
  </si>
  <si>
    <t xml:space="preserve">Conselheiro </t>
  </si>
  <si>
    <t>NOVA SANTA HELENA</t>
  </si>
  <si>
    <t>ALTA FLORESTA</t>
  </si>
  <si>
    <t>ricardo.felipeom@gmail.com</t>
  </si>
  <si>
    <t>Felipe Ricardo de Oliveira Morais</t>
  </si>
  <si>
    <t>061.514.082-33</t>
  </si>
  <si>
    <t>(66)99213-0672</t>
  </si>
  <si>
    <t>Técnico Administrativo Educacional - Transporte Escolar</t>
  </si>
  <si>
    <t>henrique.thiagoom@gmail.com</t>
  </si>
  <si>
    <t>Thiago Henrique de Oliveira Morais</t>
  </si>
  <si>
    <t>061.513.942-67</t>
  </si>
  <si>
    <t>(66)99242-5565</t>
  </si>
  <si>
    <t>Técnico administrativo educacional responsável pela prestação de contas</t>
  </si>
  <si>
    <t>onolisayuri@hotmail.com</t>
  </si>
  <si>
    <t>Lilian Sayuri Ono</t>
  </si>
  <si>
    <t>830.654.741-15</t>
  </si>
  <si>
    <t>(66)99283-0493</t>
  </si>
  <si>
    <t>Conselheira Municipal de Educação, Câmara do Fundeb e Presidente da Comissão do Transporte Escolar</t>
  </si>
  <si>
    <t>neu_caf@hotmail.com</t>
  </si>
  <si>
    <t>Neuzira Rosa de Brito</t>
  </si>
  <si>
    <t>848.226.941-00</t>
  </si>
  <si>
    <t>(66)99242-3526</t>
  </si>
  <si>
    <t>SANTA RITA DO TRIVELATO</t>
  </si>
  <si>
    <t>Professora</t>
  </si>
  <si>
    <t>SÃO JOSÉ DO RIO CLARO</t>
  </si>
  <si>
    <t>fundeb@guarantadonorte.mt.gov.br</t>
  </si>
  <si>
    <t xml:space="preserve">JOAO MARQUES </t>
  </si>
  <si>
    <t>403.447.891-87</t>
  </si>
  <si>
    <t>(66)99662-4168</t>
  </si>
  <si>
    <t>romancamili91@gmail.com</t>
  </si>
  <si>
    <t xml:space="preserve">CAMILI ROMAN GOMES </t>
  </si>
  <si>
    <t>062.818.251-10</t>
  </si>
  <si>
    <t>(65)99223-4880</t>
  </si>
  <si>
    <t xml:space="preserve">TECNICO DO SISTEMA TRANSCOLAR </t>
  </si>
  <si>
    <t>TAPURAH</t>
  </si>
  <si>
    <t>catheachapla@gmail.com</t>
  </si>
  <si>
    <t>cathea chapla</t>
  </si>
  <si>
    <t>019.896.331-96</t>
  </si>
  <si>
    <t>(66)99637-6598</t>
  </si>
  <si>
    <t>chefe de departamento transporte escolar</t>
  </si>
  <si>
    <t xml:space="preserve">Noadir Josenira Tedesco Funez </t>
  </si>
  <si>
    <t>768.855.349-00</t>
  </si>
  <si>
    <t>Secretária Executiva.</t>
  </si>
  <si>
    <t>juliana@saojosedorioclaro.mt.gov.br</t>
  </si>
  <si>
    <t>JULIANA GHEDIN CAPPELLESSO</t>
  </si>
  <si>
    <t>040.313.309-28</t>
  </si>
  <si>
    <t>(65)99303-7105</t>
  </si>
  <si>
    <t>SECRETARIA MUNICIPAL DE EDUCAÇÃO E CULTURA</t>
  </si>
  <si>
    <t>VERA</t>
  </si>
  <si>
    <t>CACS</t>
  </si>
  <si>
    <t>Municípios com representante inscrito</t>
  </si>
  <si>
    <t>Pessoas Inscritas</t>
  </si>
  <si>
    <t>carlim.albsilva@gmail.com</t>
  </si>
  <si>
    <t xml:space="preserve">Carlos Alberto Silva </t>
  </si>
  <si>
    <t>032.805.231-09</t>
  </si>
  <si>
    <t>(66)99658-2531</t>
  </si>
  <si>
    <t>educacao@saojosedorioclaro.mt.gov.br</t>
  </si>
  <si>
    <t xml:space="preserve">MARIA BEATRIZ DE MAGALHAES MORAIS	</t>
  </si>
  <si>
    <t>952.593.411-04</t>
  </si>
  <si>
    <t>(65)99225-6693</t>
  </si>
  <si>
    <t xml:space="preserve">Presidência </t>
  </si>
  <si>
    <t>kamilareislima@hotmail.com</t>
  </si>
  <si>
    <t>kamila de Almeida Reis</t>
  </si>
  <si>
    <t>718.028.431-91</t>
  </si>
  <si>
    <t>(66)99986-6165</t>
  </si>
  <si>
    <t>Presidente</t>
  </si>
  <si>
    <t>educacao@novaguarita.mt.gov.br</t>
  </si>
  <si>
    <t>KATIA NERVIS GUEDES</t>
  </si>
  <si>
    <t>059.504.181-74</t>
  </si>
  <si>
    <t>(66)98443-1093</t>
  </si>
  <si>
    <t>Conselheira</t>
  </si>
  <si>
    <t>ramilha_silva@hotmail.com</t>
  </si>
  <si>
    <t>Ramilha Rayane Bittencourt Silva</t>
  </si>
  <si>
    <t>047.708.131-20</t>
  </si>
  <si>
    <t>(66)99973-3820</t>
  </si>
  <si>
    <t>Técnica em sistema sete</t>
  </si>
  <si>
    <t>lilianclaudia77@gmail.com</t>
  </si>
  <si>
    <t xml:space="preserve">Lilian Cláudia Pereira de Oliveira </t>
  </si>
  <si>
    <t>036.728.641-61</t>
  </si>
  <si>
    <t>(66)99641-2813</t>
  </si>
  <si>
    <t xml:space="preserve">Representante do Conselho </t>
  </si>
  <si>
    <t>ricardomartins06@hotmail.com</t>
  </si>
  <si>
    <t>Ricardo Martins dos Santos</t>
  </si>
  <si>
    <t>900.336.551-20</t>
  </si>
  <si>
    <t>(66)99961-0691</t>
  </si>
  <si>
    <t xml:space="preserve">Técnico </t>
  </si>
  <si>
    <t>andreikrasowski3@gmail.com</t>
  </si>
  <si>
    <t>Andrei de Jesus Krasowski</t>
  </si>
  <si>
    <t>054.353.841-92</t>
  </si>
  <si>
    <t>(66)99716-0375</t>
  </si>
  <si>
    <t>Assistente de controle administrativo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</si>
</sst>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"/>
  </numFmts>
  <fonts count="8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color theme="1"/>
      <name val="Arial"/>
      <scheme val="minor"/>
    </font>
    <font>
      <b/>
      <color rgb="FFFFFFFF"/>
      <name val="Arial"/>
    </font>
    <font>
      <b/>
      <color theme="1"/>
      <name val="Arial"/>
      <scheme val="minor"/>
    </font>
    <font>
      <b/>
      <color theme="1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horizontal="center" vertical="bottom"/>
    </xf>
    <xf borderId="0" fillId="3" fontId="2" numFmtId="0" xfId="0" applyAlignment="1" applyFill="1" applyFont="1">
      <alignment readingOrder="0" vertical="bottom"/>
    </xf>
    <xf borderId="0" fillId="0" fontId="2" numFmtId="0" xfId="0" applyAlignment="1" applyFont="1">
      <alignment horizontal="center"/>
    </xf>
    <xf borderId="1" fillId="4" fontId="2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5" fontId="3" numFmtId="164" xfId="0" applyAlignment="1" applyFill="1" applyFont="1" applyNumberFormat="1">
      <alignment readingOrder="0"/>
    </xf>
    <xf borderId="0" fillId="5" fontId="3" numFmtId="0" xfId="0" applyAlignment="1" applyFill="1" applyFont="1">
      <alignment readingOrder="0"/>
    </xf>
    <xf borderId="0" fillId="5" fontId="3" numFmtId="14" xfId="0" applyAlignment="1" applyFill="1" applyFont="1" applyNumberFormat="1">
      <alignment readingOrder="0"/>
    </xf>
    <xf borderId="0" fillId="5" fontId="3" numFmtId="0" xfId="0" applyFill="1" applyFont="1"/>
    <xf borderId="0" fillId="5" fontId="3" numFmtId="165" xfId="0" applyFill="1" applyFont="1" applyNumberFormat="1"/>
    <xf borderId="1" fillId="4" fontId="4" numFmtId="0" xfId="0" applyAlignment="1" applyBorder="1" applyFill="1" applyFont="1">
      <alignment horizontal="center"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14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6" fontId="3" numFmtId="164" xfId="0" applyAlignment="1" applyFill="1" applyFont="1" applyNumberFormat="1">
      <alignment readingOrder="0"/>
    </xf>
    <xf borderId="0" fillId="6" fontId="3" numFmtId="0" xfId="0" applyAlignment="1" applyFill="1" applyFont="1">
      <alignment readingOrder="0"/>
    </xf>
    <xf borderId="0" fillId="6" fontId="3" numFmtId="14" xfId="0" applyAlignment="1" applyFill="1" applyFont="1" applyNumberFormat="1">
      <alignment readingOrder="0"/>
    </xf>
    <xf borderId="0" fillId="6" fontId="3" numFmtId="0" xfId="0" applyFill="1" applyFont="1"/>
    <xf borderId="0" fillId="0" fontId="3" numFmtId="165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6" fontId="3" numFmtId="165" xfId="0" applyFill="1" applyFont="1" applyNumberFormat="1"/>
    <xf borderId="0" fillId="0" fontId="3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2" fillId="4" fontId="6" numFmtId="0" xfId="0" applyAlignment="1" applyBorder="1" applyFill="1" applyFont="1">
      <alignment horizontal="right" vertical="bottom"/>
    </xf>
    <xf borderId="3" fillId="0" fontId="7" numFmtId="0" xfId="0" applyBorder="1" applyFont="1"/>
    <xf borderId="4" fillId="0" fontId="7" numFmtId="0" xfId="0" applyBorder="1" applyFont="1"/>
    <xf borderId="1" fillId="4" fontId="2" numFmtId="0" xfId="0" applyAlignment="1" applyBorder="1" applyFill="1" applyFont="1">
      <alignment horizontal="center" vertical="bottom"/>
    </xf>
    <xf borderId="0" fillId="0" fontId="3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>
        <color rgb="FF000000"/>
      </font>
      <fill>
        <patternFill patternType="none"/>
      </fill>
      <border/>
    </dxf>
  </dxfs>
  <tableStyles count="4">
    <tableStyle count="2" pivot="0" name="Confirmação e-mail-style">
      <tableStyleElement dxfId="1" type="firstRowStripe"/>
      <tableStyleElement dxfId="3" type="secondRowStripe"/>
    </tableStyle>
    <tableStyle count="2" pivot="0" name="Confirmação e-mail-style 2">
      <tableStyleElement dxfId="3" type="firstRowStripe"/>
      <tableStyleElement dxfId="1" type="secondRowStripe"/>
    </tableStyle>
    <tableStyle count="4" pivot="0" name="Respostas ao formulário 1-style">
      <tableStyleElement dxfId="2" type="headerRow"/>
      <tableStyleElement dxfId="1" type="firstRowStripe"/>
      <tableStyleElement dxfId="3" type="secondRowStripe"/>
      <tableStyleElement dxfId="5" size="0" type="wholeTable"/>
    </tableStyle>
    <tableStyle count="4" pivot="0" name="Datas-style">
      <tableStyleElement dxfId="4" type="headerRow"/>
      <tableStyleElement dxfId="1" type="firstRowStripe"/>
      <tableStyleElement dxfId="6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9" displayName="Form_Responses1" name="Form_Responses1" id="1">
  <tableColumns count="13">
    <tableColumn name="Carimbo de data/hora" id="1"/>
    <tableColumn name="Endereço de e-mail" id="2"/>
    <tableColumn name="Nome Completo:" id="3"/>
    <tableColumn name="CPF" id="4"/>
    <tableColumn name="Data de Nascimento" id="5"/>
    <tableColumn name="Telefone (XX)XXXXX-XXXX" id="6"/>
    <tableColumn name="Município que representa:" id="7"/>
    <tableColumn name="Você faz parte do:" id="8"/>
    <tableColumn name="Que cargo você ocupa na gestão municipal?" id="9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0"/>
    <tableColumn name="Que cargo você ocupa no CACS-FUNDEB?" id="11"/>
    <tableColumn name="Coluna 11" id="12"/>
    <tableColumn name="Data" id="13"/>
  </tableColumns>
  <tableStyleInfo name="Respostas ao formulário 1-style" showColumnStripes="0" showFirstColumn="1" showLastColumn="1" showRowStripes="1"/>
</table>
</file>

<file path=xl/tables/table2.xml><?xml version="1.0" encoding="utf-8"?>
<table xmlns="http://schemas.openxmlformats.org/spreadsheetml/2006/main" headerRowCount="0" ref="A43:M49" displayName="Table_1" name="Table_1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Confirmação e-mail-style" showColumnStripes="0" showFirstColumn="1" showLastColumn="1" showRowStripes="1"/>
</table>
</file>

<file path=xl/tables/table3.xml><?xml version="1.0" encoding="utf-8"?>
<table xmlns="http://schemas.openxmlformats.org/spreadsheetml/2006/main" headerRowCount="0" ref="A51:M51" displayName="Table_2" name="Table_2" id="4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Confirmação e-mail-style 2" showColumnStripes="0" showFirstColumn="1" showLastColumn="1" showRowStripes="1"/>
</table>
</file>

<file path=xl/tables/table4.xml><?xml version="1.0" encoding="utf-8"?>
<table xmlns="http://schemas.openxmlformats.org/spreadsheetml/2006/main" ref="A1:B27" displayName="Tabela_1" name="Tabela_1" id="3">
  <tableColumns count="2">
    <tableColumn name="Cidade" id="1"/>
    <tableColumn name="Data" id="2"/>
  </tableColumns>
  <tableStyleInfo name="Da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4" width="18.88"/>
    <col customWidth="1" min="5" max="5" width="20.13"/>
    <col customWidth="1" min="6" max="6" width="24.88"/>
    <col customWidth="1" min="7" max="7" width="24.13"/>
    <col customWidth="1" min="8" max="8" width="18.88"/>
    <col customWidth="1" min="9" max="9" width="37.25"/>
    <col customWidth="1" min="10" max="10" width="37.63"/>
    <col customWidth="1" min="11" max="11" width="35.63"/>
    <col customWidth="1" min="12" max="18" width="18.88"/>
  </cols>
  <sheetData>
    <row r="1" ht="22.5" customHeight="1">
      <c r="A1" s="17" t="s">
        <v>6</v>
      </c>
      <c r="B1" s="17" t="s">
        <v>7</v>
      </c>
      <c r="C1" s="20" t="s">
        <v>8</v>
      </c>
      <c r="D1" s="20" t="s">
        <v>9</v>
      </c>
      <c r="E1" s="20" t="s">
        <v>10</v>
      </c>
      <c r="F1" s="21" t="s">
        <v>137</v>
      </c>
      <c r="G1" s="20" t="s">
        <v>12</v>
      </c>
      <c r="H1" s="20" t="s">
        <v>13</v>
      </c>
      <c r="I1" s="20" t="s">
        <v>14</v>
      </c>
      <c r="J1" s="17" t="s">
        <v>15</v>
      </c>
      <c r="K1" s="20" t="s">
        <v>16</v>
      </c>
      <c r="L1" s="22" t="s">
        <v>17</v>
      </c>
      <c r="M1" s="22" t="s">
        <v>18</v>
      </c>
    </row>
    <row r="2" ht="22.5" customHeight="1">
      <c r="A2" s="23">
        <v>45811.454602604164</v>
      </c>
      <c r="B2" s="18" t="s">
        <v>116</v>
      </c>
      <c r="C2" s="18" t="s">
        <v>117</v>
      </c>
      <c r="D2" s="18" t="s">
        <v>118</v>
      </c>
      <c r="E2" s="24">
        <v>27050.0</v>
      </c>
      <c r="F2" s="18" t="s">
        <v>119</v>
      </c>
      <c r="G2" s="18" t="s">
        <v>120</v>
      </c>
      <c r="H2" s="18" t="s">
        <v>3</v>
      </c>
      <c r="I2" s="25"/>
      <c r="J2" s="25"/>
      <c r="K2" s="18" t="s">
        <v>121</v>
      </c>
      <c r="L2" s="25"/>
      <c r="M2" s="30">
        <f>VLOOKUP(G2,Tabela_1[],2,FALSE)</f>
        <v>45834</v>
      </c>
    </row>
    <row r="3" ht="22.5" customHeight="1">
      <c r="A3" s="31">
        <v>45811.601318182875</v>
      </c>
      <c r="B3" s="32" t="s">
        <v>19</v>
      </c>
      <c r="C3" s="32" t="s">
        <v>20</v>
      </c>
      <c r="D3" s="32" t="s">
        <v>21</v>
      </c>
      <c r="E3" s="34">
        <v>30103.0</v>
      </c>
      <c r="F3" s="32" t="s">
        <v>22</v>
      </c>
      <c r="G3" s="32" t="s">
        <v>23</v>
      </c>
      <c r="H3" s="32" t="s">
        <v>3</v>
      </c>
      <c r="K3" s="32" t="s">
        <v>24</v>
      </c>
      <c r="M3" s="30">
        <f>VLOOKUP(G3,Tabela_1[],2,FALSE)</f>
        <v>45833</v>
      </c>
    </row>
    <row r="4" ht="22.5" customHeight="1">
      <c r="A4" s="31">
        <v>45811.602310393515</v>
      </c>
      <c r="B4" s="32" t="s">
        <v>25</v>
      </c>
      <c r="C4" s="32" t="s">
        <v>26</v>
      </c>
      <c r="D4" s="32" t="s">
        <v>27</v>
      </c>
      <c r="E4" s="34">
        <v>31063.0</v>
      </c>
      <c r="F4" s="32" t="s">
        <v>28</v>
      </c>
      <c r="G4" s="32" t="s">
        <v>23</v>
      </c>
      <c r="H4" s="32" t="s">
        <v>3</v>
      </c>
      <c r="K4" s="32" t="s">
        <v>29</v>
      </c>
      <c r="M4" s="30">
        <f>VLOOKUP(G4,Tabela_1[],2,FALSE)</f>
        <v>45833</v>
      </c>
    </row>
    <row r="5" ht="22.5" customHeight="1">
      <c r="A5" s="31">
        <v>45811.61538934028</v>
      </c>
      <c r="B5" s="32" t="s">
        <v>30</v>
      </c>
      <c r="C5" s="32" t="s">
        <v>31</v>
      </c>
      <c r="D5" s="32" t="s">
        <v>32</v>
      </c>
      <c r="E5" s="34">
        <v>22243.0</v>
      </c>
      <c r="F5" s="32" t="s">
        <v>33</v>
      </c>
      <c r="G5" s="32" t="s">
        <v>23</v>
      </c>
      <c r="H5" s="32" t="s">
        <v>4</v>
      </c>
      <c r="I5" s="32" t="s">
        <v>34</v>
      </c>
      <c r="K5" s="32" t="s">
        <v>35</v>
      </c>
      <c r="M5" s="30">
        <f>VLOOKUP(G5,Tabela_1[],2,FALSE)</f>
        <v>45833</v>
      </c>
    </row>
    <row r="6" ht="22.5" customHeight="1">
      <c r="A6" s="31">
        <v>45811.67096614583</v>
      </c>
      <c r="B6" s="32" t="s">
        <v>36</v>
      </c>
      <c r="C6" s="32" t="s">
        <v>37</v>
      </c>
      <c r="D6" s="32" t="s">
        <v>38</v>
      </c>
      <c r="E6" s="34">
        <v>34236.0</v>
      </c>
      <c r="F6" s="32" t="s">
        <v>39</v>
      </c>
      <c r="G6" s="32" t="s">
        <v>40</v>
      </c>
      <c r="H6" s="32" t="s">
        <v>4</v>
      </c>
      <c r="I6" s="32" t="s">
        <v>41</v>
      </c>
      <c r="J6" s="32" t="s">
        <v>42</v>
      </c>
      <c r="M6" s="30">
        <f>VLOOKUP(G6,Tabela_1[],2,FALSE)</f>
        <v>45833</v>
      </c>
    </row>
    <row r="7" ht="22.5" customHeight="1">
      <c r="A7" s="31">
        <v>45811.69461333333</v>
      </c>
      <c r="B7" s="32" t="s">
        <v>43</v>
      </c>
      <c r="C7" s="32" t="s">
        <v>44</v>
      </c>
      <c r="D7" s="32" t="s">
        <v>45</v>
      </c>
      <c r="E7" s="34">
        <v>35992.0</v>
      </c>
      <c r="F7" s="32" t="s">
        <v>46</v>
      </c>
      <c r="G7" s="32" t="s">
        <v>40</v>
      </c>
      <c r="H7" s="32" t="s">
        <v>4</v>
      </c>
      <c r="I7" s="32" t="s">
        <v>47</v>
      </c>
      <c r="M7" s="30">
        <f>VLOOKUP(G7,Tabela_1[],2,FALSE)</f>
        <v>45833</v>
      </c>
    </row>
    <row r="8" ht="22.5" customHeight="1">
      <c r="A8" s="31">
        <v>45812.711735624995</v>
      </c>
      <c r="B8" s="32" t="s">
        <v>122</v>
      </c>
      <c r="C8" s="32" t="s">
        <v>123</v>
      </c>
      <c r="D8" s="32" t="s">
        <v>124</v>
      </c>
      <c r="E8" s="34">
        <v>30134.0</v>
      </c>
      <c r="F8" s="32" t="s">
        <v>125</v>
      </c>
      <c r="G8" s="32" t="s">
        <v>126</v>
      </c>
      <c r="H8" s="32" t="s">
        <v>4</v>
      </c>
      <c r="I8" s="32" t="s">
        <v>127</v>
      </c>
      <c r="J8" s="32" t="s">
        <v>128</v>
      </c>
      <c r="M8" s="30">
        <f>VLOOKUP(G8,Tabela_1[],2,FALSE)</f>
        <v>45834</v>
      </c>
    </row>
    <row r="9" ht="22.5" customHeight="1">
      <c r="A9" s="31">
        <v>45812.73516967593</v>
      </c>
      <c r="B9" s="32" t="s">
        <v>48</v>
      </c>
      <c r="C9" s="32" t="s">
        <v>49</v>
      </c>
      <c r="D9" s="32" t="s">
        <v>50</v>
      </c>
      <c r="E9" s="34">
        <v>32723.0</v>
      </c>
      <c r="F9" s="32" t="s">
        <v>51</v>
      </c>
      <c r="G9" s="32" t="s">
        <v>52</v>
      </c>
      <c r="H9" s="32" t="s">
        <v>4</v>
      </c>
      <c r="I9" s="32" t="s">
        <v>53</v>
      </c>
      <c r="M9" s="30">
        <f>VLOOKUP(G9,Tabela_1[],2,FALSE)</f>
        <v>45833</v>
      </c>
    </row>
    <row r="10" ht="22.5" customHeight="1">
      <c r="A10" s="31">
        <v>45812.73782293982</v>
      </c>
      <c r="B10" s="32" t="s">
        <v>129</v>
      </c>
      <c r="C10" s="32" t="s">
        <v>130</v>
      </c>
      <c r="D10" s="32" t="s">
        <v>131</v>
      </c>
      <c r="E10" s="34">
        <v>34262.0</v>
      </c>
      <c r="F10" s="32" t="s">
        <v>132</v>
      </c>
      <c r="G10" s="32" t="s">
        <v>126</v>
      </c>
      <c r="H10" s="32" t="s">
        <v>3</v>
      </c>
      <c r="K10" s="32" t="s">
        <v>133</v>
      </c>
      <c r="M10" s="30">
        <f>VLOOKUP(G10,Tabela_1[],2,FALSE)</f>
        <v>45834</v>
      </c>
    </row>
    <row r="11" ht="22.5" customHeight="1">
      <c r="A11" s="31">
        <v>45812.740901446756</v>
      </c>
      <c r="B11" s="32" t="s">
        <v>134</v>
      </c>
      <c r="C11" s="32" t="s">
        <v>135</v>
      </c>
      <c r="D11" s="32" t="s">
        <v>136</v>
      </c>
      <c r="E11" s="34">
        <v>27524.0</v>
      </c>
      <c r="F11" s="32" t="s">
        <v>138</v>
      </c>
      <c r="G11" s="32" t="s">
        <v>139</v>
      </c>
      <c r="H11" s="32" t="s">
        <v>3</v>
      </c>
      <c r="K11" s="32" t="s">
        <v>121</v>
      </c>
      <c r="M11" s="30">
        <f>VLOOKUP(G11,Tabela_1[],2,FALSE)</f>
        <v>45834</v>
      </c>
    </row>
    <row r="12" ht="22.5" customHeight="1">
      <c r="A12" s="31">
        <v>45812.741334074075</v>
      </c>
      <c r="B12" s="32" t="s">
        <v>140</v>
      </c>
      <c r="C12" s="32" t="s">
        <v>141</v>
      </c>
      <c r="D12" s="32" t="s">
        <v>142</v>
      </c>
      <c r="E12" s="34">
        <v>32880.0</v>
      </c>
      <c r="F12" s="32" t="s">
        <v>143</v>
      </c>
      <c r="G12" s="32" t="s">
        <v>139</v>
      </c>
      <c r="H12" s="32" t="s">
        <v>3</v>
      </c>
      <c r="K12" s="32" t="s">
        <v>144</v>
      </c>
      <c r="M12" s="30">
        <f>VLOOKUP(G12,Tabela_1[],2,FALSE)</f>
        <v>45834</v>
      </c>
    </row>
    <row r="13" ht="22.5" customHeight="1">
      <c r="A13" s="31">
        <v>45812.7425634838</v>
      </c>
      <c r="B13" s="32" t="s">
        <v>145</v>
      </c>
      <c r="C13" s="32" t="s">
        <v>146</v>
      </c>
      <c r="D13" s="32" t="s">
        <v>147</v>
      </c>
      <c r="E13" s="34">
        <v>29671.0</v>
      </c>
      <c r="F13" s="32" t="s">
        <v>148</v>
      </c>
      <c r="G13" s="32" t="s">
        <v>139</v>
      </c>
      <c r="H13" s="32" t="s">
        <v>4</v>
      </c>
      <c r="I13" s="32" t="s">
        <v>149</v>
      </c>
      <c r="M13" s="30">
        <f>VLOOKUP(G13,Tabela_1[],2,FALSE)</f>
        <v>45834</v>
      </c>
    </row>
    <row r="14" ht="22.5" customHeight="1">
      <c r="A14" s="31">
        <v>45812.744084756945</v>
      </c>
      <c r="B14" s="32" t="s">
        <v>150</v>
      </c>
      <c r="C14" s="32" t="s">
        <v>151</v>
      </c>
      <c r="D14" s="32" t="s">
        <v>152</v>
      </c>
      <c r="E14" s="34">
        <v>28458.0</v>
      </c>
      <c r="F14" s="32" t="s">
        <v>153</v>
      </c>
      <c r="G14" s="32" t="s">
        <v>139</v>
      </c>
      <c r="H14" s="32" t="s">
        <v>4</v>
      </c>
      <c r="I14" s="32" t="s">
        <v>154</v>
      </c>
      <c r="J14" s="32" t="s">
        <v>155</v>
      </c>
      <c r="M14" s="30">
        <f>VLOOKUP(G14,Tabela_1[],2,FALSE)</f>
        <v>45834</v>
      </c>
    </row>
    <row r="15" ht="22.5" customHeight="1">
      <c r="A15" s="31">
        <v>45812.799817499996</v>
      </c>
      <c r="B15" s="32" t="s">
        <v>25</v>
      </c>
      <c r="C15" s="32" t="s">
        <v>26</v>
      </c>
      <c r="D15" s="32" t="s">
        <v>27</v>
      </c>
      <c r="E15" s="34">
        <v>31063.0</v>
      </c>
      <c r="F15" s="32" t="s">
        <v>28</v>
      </c>
      <c r="G15" s="32" t="s">
        <v>23</v>
      </c>
      <c r="H15" s="32" t="s">
        <v>3</v>
      </c>
      <c r="K15" s="32" t="s">
        <v>29</v>
      </c>
      <c r="M15" s="30">
        <f>VLOOKUP(G15,Tabela_1[],2,FALSE)</f>
        <v>45833</v>
      </c>
    </row>
    <row r="16" ht="22.5" customHeight="1">
      <c r="A16" s="31">
        <v>45813.37073385417</v>
      </c>
      <c r="B16" s="32" t="s">
        <v>156</v>
      </c>
      <c r="C16" s="32" t="s">
        <v>157</v>
      </c>
      <c r="D16" s="32" t="s">
        <v>158</v>
      </c>
      <c r="E16" s="34">
        <v>36348.0</v>
      </c>
      <c r="F16" s="32" t="s">
        <v>159</v>
      </c>
      <c r="G16" s="32" t="s">
        <v>160</v>
      </c>
      <c r="H16" s="32" t="s">
        <v>4</v>
      </c>
      <c r="I16" s="32" t="s">
        <v>161</v>
      </c>
      <c r="M16" s="30">
        <f>VLOOKUP(G16,Tabela_1[],2,FALSE)</f>
        <v>45834</v>
      </c>
    </row>
    <row r="17" ht="22.5" customHeight="1">
      <c r="A17" s="31">
        <v>45813.421519421296</v>
      </c>
      <c r="B17" s="32" t="s">
        <v>54</v>
      </c>
      <c r="C17" s="32" t="s">
        <v>55</v>
      </c>
      <c r="D17" s="32" t="s">
        <v>56</v>
      </c>
      <c r="E17" s="34">
        <v>35517.0</v>
      </c>
      <c r="F17" s="32" t="s">
        <v>57</v>
      </c>
      <c r="G17" s="32" t="s">
        <v>58</v>
      </c>
      <c r="H17" s="32" t="s">
        <v>3</v>
      </c>
      <c r="K17" s="32" t="s">
        <v>60</v>
      </c>
      <c r="M17" s="30">
        <f>VLOOKUP(G17,Tabela_1[],2,FALSE)</f>
        <v>45833</v>
      </c>
    </row>
    <row r="18" ht="22.5" customHeight="1">
      <c r="A18" s="31">
        <v>45813.44241820602</v>
      </c>
      <c r="B18" s="32" t="s">
        <v>61</v>
      </c>
      <c r="C18" s="32" t="s">
        <v>62</v>
      </c>
      <c r="D18" s="32" t="s">
        <v>63</v>
      </c>
      <c r="E18" s="34">
        <v>30887.0</v>
      </c>
      <c r="F18" s="32" t="s">
        <v>64</v>
      </c>
      <c r="G18" s="32" t="s">
        <v>58</v>
      </c>
      <c r="H18" s="32" t="s">
        <v>4</v>
      </c>
      <c r="I18" s="32" t="s">
        <v>65</v>
      </c>
      <c r="M18" s="30">
        <f>VLOOKUP(G18,Tabela_1[],2,FALSE)</f>
        <v>45833</v>
      </c>
    </row>
    <row r="19" ht="22.5" customHeight="1">
      <c r="A19" s="31">
        <v>45815.70848540509</v>
      </c>
      <c r="B19" s="32" t="s">
        <v>66</v>
      </c>
      <c r="C19" s="32" t="s">
        <v>67</v>
      </c>
      <c r="D19" s="32" t="s">
        <v>68</v>
      </c>
      <c r="E19" s="34">
        <v>35610.0</v>
      </c>
      <c r="F19" s="32" t="s">
        <v>69</v>
      </c>
      <c r="G19" s="32" t="s">
        <v>70</v>
      </c>
      <c r="H19" s="32" t="s">
        <v>3</v>
      </c>
      <c r="K19" s="32" t="s">
        <v>29</v>
      </c>
      <c r="M19" s="30">
        <f>VLOOKUP(G19,Tabela_1[],2,FALSE)</f>
        <v>45833</v>
      </c>
    </row>
    <row r="20" ht="22.5" customHeight="1">
      <c r="A20" s="31">
        <v>45817.40695346065</v>
      </c>
      <c r="B20" s="32" t="s">
        <v>162</v>
      </c>
      <c r="C20" s="32" t="s">
        <v>163</v>
      </c>
      <c r="D20" s="32" t="s">
        <v>164</v>
      </c>
      <c r="E20" s="34">
        <v>26517.0</v>
      </c>
      <c r="F20" s="32" t="s">
        <v>165</v>
      </c>
      <c r="G20" s="32" t="s">
        <v>166</v>
      </c>
      <c r="H20" s="32" t="s">
        <v>3</v>
      </c>
      <c r="K20" s="32" t="s">
        <v>29</v>
      </c>
      <c r="M20" s="30">
        <f>VLOOKUP(G20,Tabela_1[],2,FALSE)</f>
        <v>45834</v>
      </c>
    </row>
    <row r="21" ht="22.5" customHeight="1">
      <c r="A21" s="31">
        <v>45817.40863262731</v>
      </c>
      <c r="B21" s="32" t="s">
        <v>71</v>
      </c>
      <c r="C21" s="32" t="s">
        <v>72</v>
      </c>
      <c r="D21" s="32" t="s">
        <v>73</v>
      </c>
      <c r="E21" s="34">
        <v>29275.0</v>
      </c>
      <c r="F21" s="32" t="s">
        <v>74</v>
      </c>
      <c r="G21" s="32" t="s">
        <v>70</v>
      </c>
      <c r="H21" s="32" t="s">
        <v>4</v>
      </c>
      <c r="I21" s="32" t="s">
        <v>75</v>
      </c>
      <c r="M21" s="30">
        <f>VLOOKUP(G21,Tabela_1[],2,FALSE)</f>
        <v>45833</v>
      </c>
    </row>
    <row r="22" ht="22.5" customHeight="1">
      <c r="A22" s="31">
        <v>45817.58430295139</v>
      </c>
      <c r="B22" s="32" t="s">
        <v>76</v>
      </c>
      <c r="C22" s="32" t="s">
        <v>77</v>
      </c>
      <c r="D22" s="32" t="s">
        <v>79</v>
      </c>
      <c r="E22" s="34">
        <v>35021.0</v>
      </c>
      <c r="F22" s="32" t="s">
        <v>80</v>
      </c>
      <c r="G22" s="32" t="s">
        <v>70</v>
      </c>
      <c r="H22" s="32" t="s">
        <v>4</v>
      </c>
      <c r="I22" s="32" t="s">
        <v>81</v>
      </c>
      <c r="M22" s="30">
        <f>VLOOKUP(G22,Tabela_1[],2,FALSE)</f>
        <v>45833</v>
      </c>
    </row>
    <row r="23" ht="22.5" customHeight="1">
      <c r="A23" s="31">
        <v>45817.74718523148</v>
      </c>
      <c r="B23" s="32" t="s">
        <v>167</v>
      </c>
      <c r="C23" s="32" t="s">
        <v>168</v>
      </c>
      <c r="D23" s="32" t="s">
        <v>169</v>
      </c>
      <c r="E23" s="34">
        <v>33795.0</v>
      </c>
      <c r="F23" s="32" t="s">
        <v>170</v>
      </c>
      <c r="G23" s="32" t="s">
        <v>166</v>
      </c>
      <c r="H23" s="32" t="s">
        <v>4</v>
      </c>
      <c r="I23" s="32" t="s">
        <v>171</v>
      </c>
      <c r="M23" s="30">
        <f>VLOOKUP(G23,Tabela_1[],2,FALSE)</f>
        <v>45834</v>
      </c>
    </row>
    <row r="24" ht="22.5" customHeight="1">
      <c r="A24" s="31">
        <v>45818.597142812505</v>
      </c>
      <c r="B24" s="32" t="s">
        <v>82</v>
      </c>
      <c r="C24" s="32" t="s">
        <v>83</v>
      </c>
      <c r="D24" s="32" t="s">
        <v>84</v>
      </c>
      <c r="E24" s="34">
        <v>29775.0</v>
      </c>
      <c r="F24" s="32" t="s">
        <v>85</v>
      </c>
      <c r="G24" s="32" t="s">
        <v>86</v>
      </c>
      <c r="H24" s="32" t="s">
        <v>4</v>
      </c>
      <c r="I24" s="32" t="s">
        <v>87</v>
      </c>
      <c r="M24" s="30">
        <f>VLOOKUP(G24,Tabela_1[],2,FALSE)</f>
        <v>45833</v>
      </c>
    </row>
    <row r="25" ht="22.5" customHeight="1">
      <c r="A25" s="31">
        <v>45819.42251052083</v>
      </c>
      <c r="B25" s="32" t="s">
        <v>172</v>
      </c>
      <c r="C25" s="32" t="s">
        <v>173</v>
      </c>
      <c r="D25" s="32" t="s">
        <v>174</v>
      </c>
      <c r="E25" s="34">
        <v>26682.0</v>
      </c>
      <c r="F25" s="32" t="s">
        <v>175</v>
      </c>
      <c r="G25" s="32" t="s">
        <v>176</v>
      </c>
      <c r="H25" s="32" t="s">
        <v>4</v>
      </c>
      <c r="I25" s="32" t="s">
        <v>177</v>
      </c>
      <c r="M25" s="30">
        <f>VLOOKUP(G25,Tabela_1[],2,FALSE)</f>
        <v>45834</v>
      </c>
    </row>
    <row r="26" ht="22.5" customHeight="1">
      <c r="A26" s="31">
        <v>45819.55082957176</v>
      </c>
      <c r="B26" s="32" t="s">
        <v>178</v>
      </c>
      <c r="C26" s="32" t="s">
        <v>179</v>
      </c>
      <c r="D26" s="32" t="s">
        <v>180</v>
      </c>
      <c r="E26" s="34">
        <v>38376.0</v>
      </c>
      <c r="F26" s="32" t="s">
        <v>181</v>
      </c>
      <c r="G26" s="32" t="s">
        <v>160</v>
      </c>
      <c r="H26" s="32" t="s">
        <v>4</v>
      </c>
      <c r="I26" s="32" t="s">
        <v>182</v>
      </c>
      <c r="M26" s="30">
        <f>VLOOKUP(G26,Tabela_1[],2,FALSE)</f>
        <v>45834</v>
      </c>
    </row>
    <row r="27" ht="22.5" customHeight="1">
      <c r="A27" s="31">
        <v>45819.649608506945</v>
      </c>
      <c r="B27" s="32" t="s">
        <v>183</v>
      </c>
      <c r="C27" s="32" t="s">
        <v>184</v>
      </c>
      <c r="D27" s="32" t="s">
        <v>185</v>
      </c>
      <c r="E27" s="34">
        <v>27047.0</v>
      </c>
      <c r="F27" s="32" t="s">
        <v>186</v>
      </c>
      <c r="G27" s="32" t="s">
        <v>120</v>
      </c>
      <c r="H27" s="32" t="s">
        <v>4</v>
      </c>
      <c r="I27" s="32" t="s">
        <v>188</v>
      </c>
      <c r="J27" s="32" t="s">
        <v>189</v>
      </c>
      <c r="M27" s="30">
        <f>VLOOKUP(G27,Tabela_1[],2,FALSE)</f>
        <v>45834</v>
      </c>
    </row>
    <row r="28" ht="22.5" customHeight="1">
      <c r="A28" s="31">
        <v>45819.685972499996</v>
      </c>
      <c r="B28" s="32" t="s">
        <v>190</v>
      </c>
      <c r="C28" s="32" t="s">
        <v>191</v>
      </c>
      <c r="D28" s="32" t="s">
        <v>192</v>
      </c>
      <c r="E28" s="34">
        <v>32244.0</v>
      </c>
      <c r="F28" s="32" t="s">
        <v>193</v>
      </c>
      <c r="G28" s="32" t="s">
        <v>160</v>
      </c>
      <c r="H28" s="32" t="s">
        <v>4</v>
      </c>
      <c r="I28" s="32" t="s">
        <v>194</v>
      </c>
      <c r="M28" s="30">
        <f>VLOOKUP(G28,Tabela_1[],2,FALSE)</f>
        <v>45834</v>
      </c>
    </row>
    <row r="29" ht="22.5" customHeight="1">
      <c r="A29" s="31">
        <v>45819.686731724534</v>
      </c>
      <c r="B29" s="32" t="s">
        <v>88</v>
      </c>
      <c r="C29" s="32" t="s">
        <v>89</v>
      </c>
      <c r="D29" s="32" t="s">
        <v>90</v>
      </c>
      <c r="E29" s="34">
        <v>32075.0</v>
      </c>
      <c r="F29" s="32" t="s">
        <v>91</v>
      </c>
      <c r="G29" s="32" t="s">
        <v>86</v>
      </c>
      <c r="H29" s="32" t="s">
        <v>4</v>
      </c>
      <c r="I29" s="32" t="s">
        <v>92</v>
      </c>
      <c r="J29" s="32" t="s">
        <v>93</v>
      </c>
      <c r="M29" s="30">
        <f>VLOOKUP(G29,Tabela_1[],2,FALSE)</f>
        <v>45833</v>
      </c>
    </row>
    <row r="30" ht="22.5" customHeight="1">
      <c r="A30" s="31">
        <v>45820.69915747685</v>
      </c>
      <c r="B30" s="32" t="s">
        <v>195</v>
      </c>
      <c r="C30" s="32" t="s">
        <v>196</v>
      </c>
      <c r="D30" s="32" t="s">
        <v>197</v>
      </c>
      <c r="E30" s="34">
        <v>28627.0</v>
      </c>
      <c r="F30" s="32" t="s">
        <v>198</v>
      </c>
      <c r="G30" s="32" t="s">
        <v>199</v>
      </c>
      <c r="H30" s="32" t="s">
        <v>4</v>
      </c>
      <c r="I30" s="32" t="s">
        <v>200</v>
      </c>
      <c r="M30" s="30">
        <f>VLOOKUP(G30,Tabela_1[],2,FALSE)</f>
        <v>45834</v>
      </c>
    </row>
    <row r="31" ht="22.5" customHeight="1">
      <c r="A31" s="31">
        <v>45820.70127939815</v>
      </c>
      <c r="B31" s="32" t="s">
        <v>195</v>
      </c>
      <c r="C31" s="32" t="s">
        <v>202</v>
      </c>
      <c r="D31" s="32" t="s">
        <v>203</v>
      </c>
      <c r="E31" s="34">
        <v>28551.0</v>
      </c>
      <c r="F31" s="32" t="s">
        <v>204</v>
      </c>
      <c r="G31" s="32" t="s">
        <v>199</v>
      </c>
      <c r="H31" s="32" t="s">
        <v>4</v>
      </c>
      <c r="I31" s="32" t="s">
        <v>205</v>
      </c>
      <c r="M31" s="30">
        <f>VLOOKUP(G31,Tabela_1[],2,FALSE)</f>
        <v>45834</v>
      </c>
    </row>
    <row r="32" ht="22.5" customHeight="1">
      <c r="A32" s="31">
        <v>45820.70660172454</v>
      </c>
      <c r="B32" s="32" t="s">
        <v>195</v>
      </c>
      <c r="C32" s="32" t="s">
        <v>206</v>
      </c>
      <c r="D32" s="32" t="s">
        <v>207</v>
      </c>
      <c r="E32" s="34">
        <v>33322.0</v>
      </c>
      <c r="F32" s="32" t="s">
        <v>208</v>
      </c>
      <c r="G32" s="32" t="s">
        <v>199</v>
      </c>
      <c r="H32" s="32" t="s">
        <v>3</v>
      </c>
      <c r="K32" s="32" t="s">
        <v>209</v>
      </c>
      <c r="M32" s="30">
        <f>VLOOKUP(G32,Tabela_1[],2,FALSE)</f>
        <v>45834</v>
      </c>
    </row>
    <row r="33" ht="22.5" customHeight="1">
      <c r="A33" s="31">
        <v>45820.711544942125</v>
      </c>
      <c r="B33" s="32" t="s">
        <v>195</v>
      </c>
      <c r="C33" s="32" t="s">
        <v>211</v>
      </c>
      <c r="D33" s="32" t="s">
        <v>212</v>
      </c>
      <c r="E33" s="34">
        <v>32799.0</v>
      </c>
      <c r="F33" s="32" t="s">
        <v>213</v>
      </c>
      <c r="G33" s="32" t="s">
        <v>199</v>
      </c>
      <c r="H33" s="32" t="s">
        <v>3</v>
      </c>
      <c r="K33" s="32" t="s">
        <v>205</v>
      </c>
      <c r="M33" s="30">
        <f>VLOOKUP(G33,Tabela_1[],2,FALSE)</f>
        <v>45834</v>
      </c>
    </row>
    <row r="34" ht="22.5" customHeight="1">
      <c r="A34" s="31">
        <v>45820.830318692126</v>
      </c>
      <c r="B34" s="32" t="s">
        <v>214</v>
      </c>
      <c r="C34" s="32" t="s">
        <v>215</v>
      </c>
      <c r="D34" s="32" t="s">
        <v>216</v>
      </c>
      <c r="E34" s="34">
        <v>25882.0</v>
      </c>
      <c r="F34" s="32" t="s">
        <v>217</v>
      </c>
      <c r="G34" s="32" t="s">
        <v>218</v>
      </c>
      <c r="H34" s="32" t="s">
        <v>3</v>
      </c>
      <c r="K34" s="32" t="s">
        <v>219</v>
      </c>
      <c r="M34" s="30">
        <f>VLOOKUP(G34,Tabela_1[],2,FALSE)</f>
        <v>45834</v>
      </c>
    </row>
    <row r="35" ht="22.5" customHeight="1">
      <c r="A35" s="31">
        <v>45821.30471506945</v>
      </c>
      <c r="B35" s="32" t="s">
        <v>94</v>
      </c>
      <c r="C35" s="32" t="s">
        <v>95</v>
      </c>
      <c r="D35" s="32" t="s">
        <v>96</v>
      </c>
      <c r="E35" s="34">
        <v>27696.0</v>
      </c>
      <c r="F35" s="32" t="s">
        <v>97</v>
      </c>
      <c r="G35" s="32" t="s">
        <v>70</v>
      </c>
      <c r="H35" s="32" t="s">
        <v>4</v>
      </c>
      <c r="I35" s="32" t="s">
        <v>98</v>
      </c>
      <c r="J35" s="32" t="s">
        <v>99</v>
      </c>
      <c r="M35" s="30">
        <f>VLOOKUP(G35,Tabela_1[],2,FALSE)</f>
        <v>45833</v>
      </c>
    </row>
    <row r="36" ht="22.5" customHeight="1">
      <c r="A36" s="31">
        <v>45821.410342256946</v>
      </c>
      <c r="B36" s="32" t="s">
        <v>220</v>
      </c>
      <c r="C36" s="32" t="s">
        <v>221</v>
      </c>
      <c r="D36" s="32" t="s">
        <v>222</v>
      </c>
      <c r="E36" s="34">
        <v>30249.0</v>
      </c>
      <c r="F36" s="32" t="s">
        <v>223</v>
      </c>
      <c r="G36" s="32" t="s">
        <v>224</v>
      </c>
      <c r="H36" s="32" t="s">
        <v>4</v>
      </c>
      <c r="I36" s="32" t="s">
        <v>225</v>
      </c>
      <c r="J36" s="32" t="s">
        <v>226</v>
      </c>
      <c r="M36" s="30">
        <f>VLOOKUP(G36,Tabela_1[],2,FALSE)</f>
        <v>45834</v>
      </c>
    </row>
    <row r="37" ht="22.5" customHeight="1">
      <c r="A37" s="31">
        <v>45824.42271518518</v>
      </c>
      <c r="B37" s="32" t="s">
        <v>227</v>
      </c>
      <c r="C37" s="32" t="s">
        <v>228</v>
      </c>
      <c r="D37" s="32" t="s">
        <v>229</v>
      </c>
      <c r="E37" s="34">
        <v>24068.0</v>
      </c>
      <c r="F37" s="32" t="s">
        <v>230</v>
      </c>
      <c r="G37" s="32" t="s">
        <v>224</v>
      </c>
      <c r="H37" s="32" t="s">
        <v>4</v>
      </c>
      <c r="I37" s="32" t="s">
        <v>231</v>
      </c>
      <c r="M37" s="30">
        <f>VLOOKUP(G37,Tabela_1[],2,FALSE)</f>
        <v>45834</v>
      </c>
    </row>
    <row r="38" ht="22.5" customHeight="1">
      <c r="A38" s="31">
        <v>45825.45707446759</v>
      </c>
      <c r="B38" s="32" t="s">
        <v>100</v>
      </c>
      <c r="C38" s="32" t="s">
        <v>101</v>
      </c>
      <c r="D38" s="32" t="s">
        <v>102</v>
      </c>
      <c r="E38" s="34">
        <v>34644.0</v>
      </c>
      <c r="F38" s="32" t="s">
        <v>103</v>
      </c>
      <c r="G38" s="32" t="s">
        <v>59</v>
      </c>
      <c r="H38" s="32" t="s">
        <v>4</v>
      </c>
      <c r="I38" s="32" t="s">
        <v>104</v>
      </c>
      <c r="M38" s="30">
        <f>VLOOKUP(G38,Tabela_1[],2,FALSE)</f>
        <v>45833</v>
      </c>
    </row>
    <row r="39" ht="22.5" customHeight="1">
      <c r="A39" s="31">
        <v>45825.459038182875</v>
      </c>
      <c r="B39" s="32" t="s">
        <v>232</v>
      </c>
      <c r="C39" s="32" t="s">
        <v>233</v>
      </c>
      <c r="D39" s="32" t="s">
        <v>234</v>
      </c>
      <c r="E39" s="34">
        <v>26853.0</v>
      </c>
      <c r="F39" s="32" t="s">
        <v>235</v>
      </c>
      <c r="G39" s="32" t="s">
        <v>218</v>
      </c>
      <c r="H39" s="32" t="s">
        <v>4</v>
      </c>
      <c r="I39" s="32" t="s">
        <v>236</v>
      </c>
      <c r="M39" s="30">
        <f>VLOOKUP(G39,Tabela_1[],2,FALSE)</f>
        <v>45834</v>
      </c>
    </row>
    <row r="40" ht="22.5" customHeight="1">
      <c r="A40" s="31">
        <v>45825.45940472222</v>
      </c>
      <c r="B40" s="32" t="s">
        <v>105</v>
      </c>
      <c r="C40" s="32" t="s">
        <v>106</v>
      </c>
      <c r="D40" s="32" t="s">
        <v>107</v>
      </c>
      <c r="E40" s="34">
        <v>29502.0</v>
      </c>
      <c r="F40" s="32" t="s">
        <v>108</v>
      </c>
      <c r="G40" s="32" t="s">
        <v>59</v>
      </c>
      <c r="H40" s="32" t="s">
        <v>4</v>
      </c>
      <c r="I40" s="32" t="s">
        <v>109</v>
      </c>
      <c r="M40" s="30">
        <f>VLOOKUP(G40,Tabela_1[],2,FALSE)</f>
        <v>45833</v>
      </c>
    </row>
    <row r="41" ht="22.5" customHeight="1">
      <c r="A41" s="31">
        <v>45825.49138129629</v>
      </c>
      <c r="B41" s="32" t="s">
        <v>111</v>
      </c>
      <c r="C41" s="32" t="s">
        <v>112</v>
      </c>
      <c r="D41" s="32" t="s">
        <v>113</v>
      </c>
      <c r="E41" s="34">
        <v>30267.0</v>
      </c>
      <c r="F41" s="32" t="s">
        <v>114</v>
      </c>
      <c r="G41" s="32" t="s">
        <v>59</v>
      </c>
      <c r="H41" s="32" t="s">
        <v>3</v>
      </c>
      <c r="K41" s="32" t="s">
        <v>115</v>
      </c>
      <c r="M41" s="30">
        <f>VLOOKUP(G41,Tabela_1[],2,FALSE)</f>
        <v>45833</v>
      </c>
    </row>
    <row r="42" ht="22.5" customHeight="1">
      <c r="A42" s="31">
        <v>45825.61459719908</v>
      </c>
      <c r="B42" s="32" t="s">
        <v>214</v>
      </c>
      <c r="C42" s="32" t="s">
        <v>281</v>
      </c>
      <c r="D42" s="32" t="s">
        <v>282</v>
      </c>
      <c r="E42" s="34">
        <v>25882.0</v>
      </c>
      <c r="F42" s="32" t="s">
        <v>217</v>
      </c>
      <c r="G42" s="32" t="s">
        <v>218</v>
      </c>
      <c r="H42" s="32" t="s">
        <v>3</v>
      </c>
      <c r="K42" s="32" t="s">
        <v>283</v>
      </c>
      <c r="M42" s="41">
        <f>VLOOKUP(G42,Tabela_1[],2,FALSE)</f>
        <v>45834</v>
      </c>
    </row>
    <row r="43" ht="22.5" customHeight="1">
      <c r="A43" s="31">
        <v>45825.61761252314</v>
      </c>
      <c r="B43" s="32" t="s">
        <v>244</v>
      </c>
      <c r="C43" s="32" t="s">
        <v>245</v>
      </c>
      <c r="D43" s="32" t="s">
        <v>246</v>
      </c>
      <c r="E43" s="34">
        <v>38133.0</v>
      </c>
      <c r="F43" s="32" t="s">
        <v>247</v>
      </c>
      <c r="G43" s="32" t="s">
        <v>243</v>
      </c>
      <c r="H43" s="32" t="s">
        <v>4</v>
      </c>
      <c r="I43" s="32" t="s">
        <v>248</v>
      </c>
      <c r="M43" s="41">
        <f>VLOOKUP(G43,Tabela_1[],2,FALSE)</f>
        <v>45833</v>
      </c>
    </row>
    <row r="44" ht="22.5" customHeight="1">
      <c r="A44" s="31">
        <v>45825.62270266203</v>
      </c>
      <c r="B44" s="32" t="s">
        <v>249</v>
      </c>
      <c r="C44" s="32" t="s">
        <v>250</v>
      </c>
      <c r="D44" s="32" t="s">
        <v>251</v>
      </c>
      <c r="E44" s="34">
        <v>38133.0</v>
      </c>
      <c r="F44" s="32" t="s">
        <v>252</v>
      </c>
      <c r="G44" s="32" t="s">
        <v>243</v>
      </c>
      <c r="H44" s="32" t="s">
        <v>4</v>
      </c>
      <c r="I44" s="32" t="s">
        <v>253</v>
      </c>
      <c r="M44" s="41">
        <f>VLOOKUP(G44,Tabela_1[],2,FALSE)</f>
        <v>45833</v>
      </c>
    </row>
    <row r="45" ht="22.5" customHeight="1">
      <c r="A45" s="31">
        <v>45825.626142175926</v>
      </c>
      <c r="B45" s="32" t="s">
        <v>254</v>
      </c>
      <c r="C45" s="32" t="s">
        <v>255</v>
      </c>
      <c r="D45" s="32" t="s">
        <v>256</v>
      </c>
      <c r="E45" s="34">
        <v>29016.0</v>
      </c>
      <c r="F45" s="32" t="s">
        <v>257</v>
      </c>
      <c r="G45" s="32" t="s">
        <v>243</v>
      </c>
      <c r="H45" s="32" t="s">
        <v>3</v>
      </c>
      <c r="K45" s="32" t="s">
        <v>258</v>
      </c>
      <c r="M45" s="41">
        <f>VLOOKUP(G45,Tabela_1[],2,FALSE)</f>
        <v>45833</v>
      </c>
    </row>
    <row r="46" ht="22.5" customHeight="1">
      <c r="A46" s="31">
        <v>45826.69987671296</v>
      </c>
      <c r="B46" s="32" t="s">
        <v>259</v>
      </c>
      <c r="C46" s="32" t="s">
        <v>260</v>
      </c>
      <c r="D46" s="32" t="s">
        <v>261</v>
      </c>
      <c r="E46" s="34">
        <v>28454.0</v>
      </c>
      <c r="F46" s="32" t="s">
        <v>262</v>
      </c>
      <c r="G46" s="32" t="s">
        <v>243</v>
      </c>
      <c r="H46" s="32" t="s">
        <v>3</v>
      </c>
      <c r="K46" s="32" t="s">
        <v>264</v>
      </c>
      <c r="M46" s="41">
        <f>VLOOKUP(G46,Tabela_1[],2,FALSE)</f>
        <v>45833</v>
      </c>
    </row>
    <row r="47" ht="22.5" customHeight="1">
      <c r="A47" s="31">
        <v>45831.356403275466</v>
      </c>
      <c r="B47" s="32" t="s">
        <v>266</v>
      </c>
      <c r="C47" s="32" t="s">
        <v>267</v>
      </c>
      <c r="D47" s="32" t="s">
        <v>268</v>
      </c>
      <c r="E47" s="34">
        <v>24163.0</v>
      </c>
      <c r="F47" s="32" t="s">
        <v>269</v>
      </c>
      <c r="G47" s="32" t="s">
        <v>86</v>
      </c>
      <c r="H47" s="32" t="s">
        <v>3</v>
      </c>
      <c r="K47" s="32" t="s">
        <v>121</v>
      </c>
      <c r="M47" s="41">
        <f>VLOOKUP(G47,Tabela_1[],2,FALSE)</f>
        <v>45833</v>
      </c>
    </row>
    <row r="48" ht="22.5" customHeight="1">
      <c r="A48" s="31">
        <v>45831.39973480324</v>
      </c>
      <c r="B48" s="32" t="s">
        <v>270</v>
      </c>
      <c r="C48" s="32" t="s">
        <v>271</v>
      </c>
      <c r="D48" s="32" t="s">
        <v>272</v>
      </c>
      <c r="E48" s="34">
        <v>38145.0</v>
      </c>
      <c r="F48" s="32" t="s">
        <v>273</v>
      </c>
      <c r="G48" s="32" t="s">
        <v>265</v>
      </c>
      <c r="H48" s="32" t="s">
        <v>4</v>
      </c>
      <c r="I48" s="32" t="s">
        <v>274</v>
      </c>
      <c r="M48" s="41">
        <f>VLOOKUP(G48,Tabela_1[],2,FALSE)</f>
        <v>45834</v>
      </c>
    </row>
    <row r="49" ht="22.5" customHeight="1">
      <c r="A49" s="31">
        <v>45831.48024359954</v>
      </c>
      <c r="B49" s="32" t="s">
        <v>237</v>
      </c>
      <c r="C49" s="32" t="s">
        <v>238</v>
      </c>
      <c r="D49" s="32" t="s">
        <v>239</v>
      </c>
      <c r="E49" s="34">
        <v>28797.0</v>
      </c>
      <c r="F49" s="32" t="s">
        <v>240</v>
      </c>
      <c r="G49" s="32" t="s">
        <v>70</v>
      </c>
      <c r="H49" s="32" t="s">
        <v>3</v>
      </c>
      <c r="K49" s="32" t="s">
        <v>241</v>
      </c>
      <c r="M49" s="41">
        <f>VLOOKUP(G49,Tabela_1[],2,FALSE)</f>
        <v>45833</v>
      </c>
    </row>
    <row r="50" ht="22.5" customHeight="1">
      <c r="A50" s="31">
        <v>45831.750984513885</v>
      </c>
      <c r="B50" s="32" t="s">
        <v>276</v>
      </c>
      <c r="C50" s="32" t="s">
        <v>277</v>
      </c>
      <c r="D50" s="32" t="s">
        <v>278</v>
      </c>
      <c r="E50" s="34">
        <v>32228.0</v>
      </c>
      <c r="F50" s="32" t="s">
        <v>279</v>
      </c>
      <c r="G50" s="32" t="s">
        <v>218</v>
      </c>
      <c r="H50" s="32" t="s">
        <v>4</v>
      </c>
      <c r="I50" s="32" t="s">
        <v>280</v>
      </c>
      <c r="M50" s="41">
        <f>VLOOKUP(G50,Tabela_1[],2,FALSE)</f>
        <v>45834</v>
      </c>
    </row>
    <row r="51" ht="22.5" customHeight="1">
      <c r="A51" s="31">
        <v>45832.342260219906</v>
      </c>
      <c r="B51" s="32" t="s">
        <v>284</v>
      </c>
      <c r="C51" s="32" t="s">
        <v>285</v>
      </c>
      <c r="D51" s="32" t="s">
        <v>286</v>
      </c>
      <c r="E51" s="34">
        <v>30589.0</v>
      </c>
      <c r="F51" s="32" t="s">
        <v>287</v>
      </c>
      <c r="G51" s="32" t="s">
        <v>265</v>
      </c>
      <c r="H51" s="32" t="s">
        <v>4</v>
      </c>
      <c r="I51" s="32" t="s">
        <v>288</v>
      </c>
      <c r="M51" s="41">
        <f>VLOOKUP(G51,Tabela_1[],2,FALSE)</f>
        <v>45834</v>
      </c>
    </row>
    <row r="52" ht="22.5" customHeight="1">
      <c r="A52" s="31">
        <v>45832.36370202547</v>
      </c>
      <c r="B52" s="32" t="s">
        <v>293</v>
      </c>
      <c r="C52" s="32" t="s">
        <v>294</v>
      </c>
      <c r="D52" s="32" t="s">
        <v>295</v>
      </c>
      <c r="E52" s="34">
        <v>32218.0</v>
      </c>
      <c r="F52" s="32" t="s">
        <v>296</v>
      </c>
      <c r="G52" s="32" t="s">
        <v>59</v>
      </c>
      <c r="H52" s="32" t="s">
        <v>3</v>
      </c>
      <c r="K52" s="32" t="s">
        <v>29</v>
      </c>
      <c r="M52" s="41">
        <f>VLOOKUP(G52,Tabela_1[],2,FALSE)</f>
        <v>45833</v>
      </c>
    </row>
    <row r="53" ht="22.5" customHeight="1">
      <c r="A53" s="31">
        <v>45832.38869037037</v>
      </c>
      <c r="B53" s="32" t="s">
        <v>297</v>
      </c>
      <c r="C53" s="32" t="s">
        <v>298</v>
      </c>
      <c r="D53" s="32" t="s">
        <v>299</v>
      </c>
      <c r="E53" s="34">
        <v>29099.0</v>
      </c>
      <c r="F53" s="32" t="s">
        <v>300</v>
      </c>
      <c r="G53" s="32" t="s">
        <v>265</v>
      </c>
      <c r="H53" s="32" t="s">
        <v>3</v>
      </c>
      <c r="K53" s="32" t="s">
        <v>301</v>
      </c>
      <c r="M53" s="41">
        <f>VLOOKUP(G53,Tabela_1[],2,FALSE)</f>
        <v>45834</v>
      </c>
    </row>
    <row r="54" ht="22.5" customHeight="1">
      <c r="A54" s="31">
        <v>45832.41203028936</v>
      </c>
      <c r="B54" s="32" t="s">
        <v>302</v>
      </c>
      <c r="C54" s="32" t="s">
        <v>303</v>
      </c>
      <c r="D54" s="32" t="s">
        <v>304</v>
      </c>
      <c r="E54" s="34">
        <v>29455.0</v>
      </c>
      <c r="F54" s="32" t="s">
        <v>305</v>
      </c>
      <c r="G54" s="32" t="s">
        <v>218</v>
      </c>
      <c r="H54" s="32" t="s">
        <v>3</v>
      </c>
      <c r="K54" s="32" t="s">
        <v>306</v>
      </c>
      <c r="M54" s="41">
        <f>VLOOKUP(G54,Tabela_1[],2,FALSE)</f>
        <v>45834</v>
      </c>
    </row>
    <row r="55" ht="22.5" customHeight="1">
      <c r="A55" s="31">
        <v>45832.48409092592</v>
      </c>
      <c r="B55" s="32" t="s">
        <v>307</v>
      </c>
      <c r="C55" s="32" t="s">
        <v>308</v>
      </c>
      <c r="D55" s="32" t="s">
        <v>309</v>
      </c>
      <c r="E55" s="34">
        <v>34437.0</v>
      </c>
      <c r="F55" s="32" t="s">
        <v>310</v>
      </c>
      <c r="G55" s="32" t="s">
        <v>52</v>
      </c>
      <c r="H55" s="32" t="s">
        <v>3</v>
      </c>
      <c r="K55" s="32" t="s">
        <v>311</v>
      </c>
      <c r="M55" s="41">
        <f>VLOOKUP(G55,Tabela_1[],2,FALSE)</f>
        <v>45833</v>
      </c>
    </row>
    <row r="56" ht="22.5" customHeight="1">
      <c r="A56" s="31">
        <v>45832.74247134259</v>
      </c>
      <c r="B56" s="32" t="s">
        <v>312</v>
      </c>
      <c r="C56" s="32" t="s">
        <v>313</v>
      </c>
      <c r="D56" s="32" t="s">
        <v>314</v>
      </c>
      <c r="E56" s="34">
        <v>37484.0</v>
      </c>
      <c r="F56" s="32" t="s">
        <v>315</v>
      </c>
      <c r="G56" s="32" t="s">
        <v>86</v>
      </c>
      <c r="H56" s="32" t="s">
        <v>4</v>
      </c>
      <c r="I56" s="32" t="s">
        <v>316</v>
      </c>
      <c r="M56" s="41">
        <f>VLOOKUP(G56,Tabela_1[],2,FALSE)</f>
        <v>45833</v>
      </c>
    </row>
    <row r="57" ht="22.5" customHeight="1">
      <c r="A57" s="31">
        <v>45833.63042945602</v>
      </c>
      <c r="B57" s="32" t="s">
        <v>317</v>
      </c>
      <c r="C57" s="32" t="s">
        <v>318</v>
      </c>
      <c r="D57" s="32" t="s">
        <v>319</v>
      </c>
      <c r="E57" s="34">
        <v>32554.0</v>
      </c>
      <c r="F57" s="32" t="s">
        <v>320</v>
      </c>
      <c r="G57" s="32" t="s">
        <v>224</v>
      </c>
      <c r="H57" s="32" t="s">
        <v>3</v>
      </c>
      <c r="K57" s="32" t="s">
        <v>321</v>
      </c>
      <c r="M57" s="41">
        <f>VLOOKUP(G57,Tabela_1[],2,FALSE)</f>
        <v>45834</v>
      </c>
    </row>
    <row r="58" ht="22.5" customHeight="1">
      <c r="A58" s="31">
        <v>45833.68283777778</v>
      </c>
      <c r="B58" s="32" t="s">
        <v>322</v>
      </c>
      <c r="C58" s="32" t="s">
        <v>323</v>
      </c>
      <c r="D58" s="32" t="s">
        <v>324</v>
      </c>
      <c r="E58" s="34">
        <v>27102.0</v>
      </c>
      <c r="F58" s="32" t="s">
        <v>325</v>
      </c>
      <c r="G58" s="32" t="s">
        <v>166</v>
      </c>
      <c r="H58" s="32" t="s">
        <v>4</v>
      </c>
      <c r="I58" s="32" t="s">
        <v>326</v>
      </c>
      <c r="M58" s="41">
        <f>VLOOKUP(G58,Tabela_1[],2,FALSE)</f>
        <v>45834</v>
      </c>
    </row>
    <row r="59" ht="22.5" customHeight="1">
      <c r="A59" s="31">
        <v>45833.70134462963</v>
      </c>
      <c r="B59" s="32" t="s">
        <v>327</v>
      </c>
      <c r="C59" s="32" t="s">
        <v>328</v>
      </c>
      <c r="D59" s="32" t="s">
        <v>329</v>
      </c>
      <c r="E59" s="34">
        <v>36982.0</v>
      </c>
      <c r="F59" s="32" t="s">
        <v>330</v>
      </c>
      <c r="G59" s="32" t="s">
        <v>289</v>
      </c>
      <c r="H59" s="32" t="s">
        <v>4</v>
      </c>
      <c r="I59" s="32" t="s">
        <v>331</v>
      </c>
      <c r="M59" s="41">
        <f>VLOOKUP(G59,Tabela_1[],2,FALSE)</f>
        <v>45834</v>
      </c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  <c r="I1" s="8" t="s">
        <v>14</v>
      </c>
      <c r="J1" s="8" t="s">
        <v>15</v>
      </c>
      <c r="K1" s="8" t="s">
        <v>16</v>
      </c>
      <c r="L1" s="9" t="s">
        <v>17</v>
      </c>
      <c r="M1" s="9" t="s">
        <v>18</v>
      </c>
    </row>
    <row r="2">
      <c r="A2" s="10">
        <v>45811.601318182875</v>
      </c>
      <c r="B2" s="11" t="s">
        <v>19</v>
      </c>
      <c r="C2" s="11" t="s">
        <v>20</v>
      </c>
      <c r="D2" s="11" t="s">
        <v>21</v>
      </c>
      <c r="E2" s="12">
        <v>30103.0</v>
      </c>
      <c r="F2" s="11" t="s">
        <v>22</v>
      </c>
      <c r="G2" s="11" t="s">
        <v>23</v>
      </c>
      <c r="H2" s="11" t="s">
        <v>3</v>
      </c>
      <c r="I2" s="13"/>
      <c r="J2" s="13"/>
      <c r="K2" s="11" t="s">
        <v>24</v>
      </c>
      <c r="L2" s="13"/>
      <c r="M2" s="14">
        <v>45833.0</v>
      </c>
    </row>
    <row r="3">
      <c r="A3" s="10">
        <v>45811.602310393515</v>
      </c>
      <c r="B3" s="11" t="s">
        <v>25</v>
      </c>
      <c r="C3" s="11" t="s">
        <v>26</v>
      </c>
      <c r="D3" s="11" t="s">
        <v>27</v>
      </c>
      <c r="E3" s="12">
        <v>31063.0</v>
      </c>
      <c r="F3" s="11" t="s">
        <v>28</v>
      </c>
      <c r="G3" s="11" t="s">
        <v>23</v>
      </c>
      <c r="H3" s="11" t="s">
        <v>3</v>
      </c>
      <c r="I3" s="13"/>
      <c r="J3" s="13"/>
      <c r="K3" s="11" t="s">
        <v>29</v>
      </c>
      <c r="L3" s="13"/>
      <c r="M3" s="14">
        <v>45833.0</v>
      </c>
    </row>
    <row r="4">
      <c r="A4" s="10">
        <v>45811.61538934028</v>
      </c>
      <c r="B4" s="11" t="s">
        <v>30</v>
      </c>
      <c r="C4" s="11" t="s">
        <v>31</v>
      </c>
      <c r="D4" s="11" t="s">
        <v>32</v>
      </c>
      <c r="E4" s="12">
        <v>22243.0</v>
      </c>
      <c r="F4" s="11" t="s">
        <v>33</v>
      </c>
      <c r="G4" s="11" t="s">
        <v>23</v>
      </c>
      <c r="H4" s="11" t="s">
        <v>4</v>
      </c>
      <c r="I4" s="11" t="s">
        <v>34</v>
      </c>
      <c r="J4" s="13"/>
      <c r="K4" s="11" t="s">
        <v>35</v>
      </c>
      <c r="L4" s="13"/>
      <c r="M4" s="14">
        <v>45833.0</v>
      </c>
    </row>
    <row r="5">
      <c r="A5" s="10">
        <v>45811.67096614583</v>
      </c>
      <c r="B5" s="11" t="s">
        <v>36</v>
      </c>
      <c r="C5" s="11" t="s">
        <v>37</v>
      </c>
      <c r="D5" s="11" t="s">
        <v>38</v>
      </c>
      <c r="E5" s="12">
        <v>34236.0</v>
      </c>
      <c r="F5" s="11" t="s">
        <v>39</v>
      </c>
      <c r="G5" s="11" t="s">
        <v>40</v>
      </c>
      <c r="H5" s="11" t="s">
        <v>4</v>
      </c>
      <c r="I5" s="11" t="s">
        <v>41</v>
      </c>
      <c r="J5" s="11" t="s">
        <v>42</v>
      </c>
      <c r="K5" s="13"/>
      <c r="L5" s="13"/>
      <c r="M5" s="14">
        <v>45833.0</v>
      </c>
    </row>
    <row r="6">
      <c r="A6" s="10">
        <v>45811.69461333333</v>
      </c>
      <c r="B6" s="11" t="s">
        <v>43</v>
      </c>
      <c r="C6" s="11" t="s">
        <v>44</v>
      </c>
      <c r="D6" s="11" t="s">
        <v>45</v>
      </c>
      <c r="E6" s="12">
        <v>35992.0</v>
      </c>
      <c r="F6" s="11" t="s">
        <v>46</v>
      </c>
      <c r="G6" s="11" t="s">
        <v>40</v>
      </c>
      <c r="H6" s="11" t="s">
        <v>4</v>
      </c>
      <c r="I6" s="11" t="s">
        <v>47</v>
      </c>
      <c r="J6" s="13"/>
      <c r="K6" s="13"/>
      <c r="L6" s="13"/>
      <c r="M6" s="14">
        <v>45833.0</v>
      </c>
    </row>
    <row r="7">
      <c r="A7" s="10">
        <v>45812.73516967593</v>
      </c>
      <c r="B7" s="11" t="s">
        <v>48</v>
      </c>
      <c r="C7" s="11" t="s">
        <v>49</v>
      </c>
      <c r="D7" s="11" t="s">
        <v>50</v>
      </c>
      <c r="E7" s="12">
        <v>32723.0</v>
      </c>
      <c r="F7" s="11" t="s">
        <v>51</v>
      </c>
      <c r="G7" s="11" t="s">
        <v>52</v>
      </c>
      <c r="H7" s="11" t="s">
        <v>4</v>
      </c>
      <c r="I7" s="11" t="s">
        <v>53</v>
      </c>
      <c r="J7" s="13"/>
      <c r="K7" s="13"/>
      <c r="L7" s="13"/>
      <c r="M7" s="14">
        <v>45833.0</v>
      </c>
    </row>
    <row r="8">
      <c r="A8" s="10">
        <v>45812.799817499996</v>
      </c>
      <c r="B8" s="11" t="s">
        <v>25</v>
      </c>
      <c r="C8" s="11" t="s">
        <v>26</v>
      </c>
      <c r="D8" s="11" t="s">
        <v>27</v>
      </c>
      <c r="E8" s="12">
        <v>31063.0</v>
      </c>
      <c r="F8" s="11" t="s">
        <v>28</v>
      </c>
      <c r="G8" s="11" t="s">
        <v>23</v>
      </c>
      <c r="H8" s="11" t="s">
        <v>3</v>
      </c>
      <c r="I8" s="13"/>
      <c r="J8" s="13"/>
      <c r="K8" s="11" t="s">
        <v>29</v>
      </c>
      <c r="L8" s="13"/>
      <c r="M8" s="14">
        <v>45833.0</v>
      </c>
    </row>
    <row r="9">
      <c r="A9" s="10">
        <v>45813.421519421296</v>
      </c>
      <c r="B9" s="11" t="s">
        <v>54</v>
      </c>
      <c r="C9" s="11" t="s">
        <v>55</v>
      </c>
      <c r="D9" s="11" t="s">
        <v>56</v>
      </c>
      <c r="E9" s="12">
        <v>35517.0</v>
      </c>
      <c r="F9" s="11" t="s">
        <v>57</v>
      </c>
      <c r="G9" s="11" t="s">
        <v>58</v>
      </c>
      <c r="H9" s="11" t="s">
        <v>3</v>
      </c>
      <c r="I9" s="13"/>
      <c r="J9" s="13"/>
      <c r="K9" s="11" t="s">
        <v>60</v>
      </c>
      <c r="L9" s="13"/>
      <c r="M9" s="14">
        <v>45833.0</v>
      </c>
    </row>
    <row r="10">
      <c r="A10" s="10">
        <v>45813.44241820602</v>
      </c>
      <c r="B10" s="11" t="s">
        <v>61</v>
      </c>
      <c r="C10" s="11" t="s">
        <v>62</v>
      </c>
      <c r="D10" s="11" t="s">
        <v>63</v>
      </c>
      <c r="E10" s="12">
        <v>30887.0</v>
      </c>
      <c r="F10" s="11" t="s">
        <v>64</v>
      </c>
      <c r="G10" s="11" t="s">
        <v>58</v>
      </c>
      <c r="H10" s="11" t="s">
        <v>4</v>
      </c>
      <c r="I10" s="11" t="s">
        <v>65</v>
      </c>
      <c r="J10" s="13"/>
      <c r="K10" s="13"/>
      <c r="L10" s="13"/>
      <c r="M10" s="14">
        <v>45833.0</v>
      </c>
    </row>
    <row r="11">
      <c r="A11" s="10">
        <v>45815.70848540509</v>
      </c>
      <c r="B11" s="11" t="s">
        <v>66</v>
      </c>
      <c r="C11" s="11" t="s">
        <v>67</v>
      </c>
      <c r="D11" s="11" t="s">
        <v>68</v>
      </c>
      <c r="E11" s="12">
        <v>35610.0</v>
      </c>
      <c r="F11" s="11" t="s">
        <v>69</v>
      </c>
      <c r="G11" s="11" t="s">
        <v>70</v>
      </c>
      <c r="H11" s="11" t="s">
        <v>3</v>
      </c>
      <c r="I11" s="13"/>
      <c r="J11" s="13"/>
      <c r="K11" s="11" t="s">
        <v>29</v>
      </c>
      <c r="L11" s="13"/>
      <c r="M11" s="14">
        <v>45833.0</v>
      </c>
    </row>
    <row r="12">
      <c r="A12" s="10">
        <v>45817.40863262731</v>
      </c>
      <c r="B12" s="11" t="s">
        <v>71</v>
      </c>
      <c r="C12" s="11" t="s">
        <v>72</v>
      </c>
      <c r="D12" s="11" t="s">
        <v>73</v>
      </c>
      <c r="E12" s="12">
        <v>29275.0</v>
      </c>
      <c r="F12" s="11" t="s">
        <v>74</v>
      </c>
      <c r="G12" s="11" t="s">
        <v>70</v>
      </c>
      <c r="H12" s="11" t="s">
        <v>4</v>
      </c>
      <c r="I12" s="11" t="s">
        <v>75</v>
      </c>
      <c r="J12" s="13"/>
      <c r="K12" s="13"/>
      <c r="L12" s="13"/>
      <c r="M12" s="14">
        <v>45833.0</v>
      </c>
    </row>
    <row r="13">
      <c r="A13" s="10">
        <v>45817.58430295139</v>
      </c>
      <c r="B13" s="11" t="s">
        <v>76</v>
      </c>
      <c r="C13" s="11" t="s">
        <v>77</v>
      </c>
      <c r="D13" s="11" t="s">
        <v>79</v>
      </c>
      <c r="E13" s="12">
        <v>35021.0</v>
      </c>
      <c r="F13" s="11" t="s">
        <v>80</v>
      </c>
      <c r="G13" s="11" t="s">
        <v>70</v>
      </c>
      <c r="H13" s="11" t="s">
        <v>4</v>
      </c>
      <c r="I13" s="11" t="s">
        <v>81</v>
      </c>
      <c r="J13" s="13"/>
      <c r="K13" s="13"/>
      <c r="L13" s="13"/>
      <c r="M13" s="14">
        <v>45833.0</v>
      </c>
    </row>
    <row r="14">
      <c r="A14" s="10">
        <v>45818.597142812505</v>
      </c>
      <c r="B14" s="11" t="s">
        <v>82</v>
      </c>
      <c r="C14" s="11" t="s">
        <v>83</v>
      </c>
      <c r="D14" s="11" t="s">
        <v>84</v>
      </c>
      <c r="E14" s="12">
        <v>29775.0</v>
      </c>
      <c r="F14" s="11" t="s">
        <v>85</v>
      </c>
      <c r="G14" s="11" t="s">
        <v>86</v>
      </c>
      <c r="H14" s="11" t="s">
        <v>4</v>
      </c>
      <c r="I14" s="11" t="s">
        <v>87</v>
      </c>
      <c r="J14" s="13"/>
      <c r="K14" s="13"/>
      <c r="L14" s="13"/>
      <c r="M14" s="14">
        <v>45833.0</v>
      </c>
    </row>
    <row r="15">
      <c r="A15" s="10">
        <v>45819.686731724534</v>
      </c>
      <c r="B15" s="11" t="s">
        <v>88</v>
      </c>
      <c r="C15" s="11" t="s">
        <v>89</v>
      </c>
      <c r="D15" s="11" t="s">
        <v>90</v>
      </c>
      <c r="E15" s="12">
        <v>32075.0</v>
      </c>
      <c r="F15" s="11" t="s">
        <v>91</v>
      </c>
      <c r="G15" s="11" t="s">
        <v>86</v>
      </c>
      <c r="H15" s="11" t="s">
        <v>4</v>
      </c>
      <c r="I15" s="11" t="s">
        <v>92</v>
      </c>
      <c r="J15" s="11" t="s">
        <v>93</v>
      </c>
      <c r="K15" s="13"/>
      <c r="L15" s="13"/>
      <c r="M15" s="14">
        <v>45833.0</v>
      </c>
    </row>
    <row r="16">
      <c r="A16" s="10">
        <v>45821.30471506945</v>
      </c>
      <c r="B16" s="11" t="s">
        <v>94</v>
      </c>
      <c r="C16" s="11" t="s">
        <v>95</v>
      </c>
      <c r="D16" s="11" t="s">
        <v>96</v>
      </c>
      <c r="E16" s="12">
        <v>27696.0</v>
      </c>
      <c r="F16" s="11" t="s">
        <v>97</v>
      </c>
      <c r="G16" s="11" t="s">
        <v>70</v>
      </c>
      <c r="H16" s="11" t="s">
        <v>4</v>
      </c>
      <c r="I16" s="11" t="s">
        <v>98</v>
      </c>
      <c r="J16" s="11" t="s">
        <v>99</v>
      </c>
      <c r="K16" s="13"/>
      <c r="L16" s="13"/>
      <c r="M16" s="14">
        <v>45833.0</v>
      </c>
    </row>
    <row r="17">
      <c r="A17" s="10">
        <v>45825.45707446759</v>
      </c>
      <c r="B17" s="11" t="s">
        <v>100</v>
      </c>
      <c r="C17" s="11" t="s">
        <v>101</v>
      </c>
      <c r="D17" s="11" t="s">
        <v>102</v>
      </c>
      <c r="E17" s="12">
        <v>34644.0</v>
      </c>
      <c r="F17" s="11" t="s">
        <v>103</v>
      </c>
      <c r="G17" s="11" t="s">
        <v>59</v>
      </c>
      <c r="H17" s="11" t="s">
        <v>4</v>
      </c>
      <c r="I17" s="11" t="s">
        <v>104</v>
      </c>
      <c r="J17" s="13"/>
      <c r="K17" s="13"/>
      <c r="L17" s="13"/>
      <c r="M17" s="14">
        <v>45833.0</v>
      </c>
    </row>
    <row r="18">
      <c r="A18" s="10">
        <v>45825.45940472222</v>
      </c>
      <c r="B18" s="11" t="s">
        <v>105</v>
      </c>
      <c r="C18" s="11" t="s">
        <v>106</v>
      </c>
      <c r="D18" s="11" t="s">
        <v>107</v>
      </c>
      <c r="E18" s="12">
        <v>29502.0</v>
      </c>
      <c r="F18" s="11" t="s">
        <v>108</v>
      </c>
      <c r="G18" s="11" t="s">
        <v>59</v>
      </c>
      <c r="H18" s="11" t="s">
        <v>4</v>
      </c>
      <c r="I18" s="11" t="s">
        <v>109</v>
      </c>
      <c r="J18" s="13"/>
      <c r="K18" s="13"/>
      <c r="L18" s="13"/>
      <c r="M18" s="14">
        <v>45833.0</v>
      </c>
    </row>
    <row r="19">
      <c r="A19" s="10">
        <v>45825.49138129629</v>
      </c>
      <c r="B19" s="11" t="s">
        <v>111</v>
      </c>
      <c r="C19" s="11" t="s">
        <v>112</v>
      </c>
      <c r="D19" s="11" t="s">
        <v>113</v>
      </c>
      <c r="E19" s="12">
        <v>30267.0</v>
      </c>
      <c r="F19" s="11" t="s">
        <v>114</v>
      </c>
      <c r="G19" s="11" t="s">
        <v>59</v>
      </c>
      <c r="H19" s="11" t="s">
        <v>3</v>
      </c>
      <c r="I19" s="13"/>
      <c r="J19" s="13"/>
      <c r="K19" s="11" t="s">
        <v>115</v>
      </c>
      <c r="L19" s="13"/>
      <c r="M19" s="14">
        <v>45833.0</v>
      </c>
    </row>
    <row r="20">
      <c r="A20" s="10">
        <v>45811.454602604164</v>
      </c>
      <c r="B20" s="11" t="s">
        <v>116</v>
      </c>
      <c r="C20" s="11" t="s">
        <v>117</v>
      </c>
      <c r="D20" s="11" t="s">
        <v>118</v>
      </c>
      <c r="E20" s="12">
        <v>27050.0</v>
      </c>
      <c r="F20" s="11" t="s">
        <v>119</v>
      </c>
      <c r="G20" s="11" t="s">
        <v>120</v>
      </c>
      <c r="H20" s="11" t="s">
        <v>3</v>
      </c>
      <c r="I20" s="13"/>
      <c r="J20" s="13"/>
      <c r="K20" s="11" t="s">
        <v>121</v>
      </c>
      <c r="L20" s="13"/>
      <c r="M20" s="14">
        <v>45834.0</v>
      </c>
    </row>
    <row r="21">
      <c r="A21" s="10">
        <v>45812.711735624995</v>
      </c>
      <c r="B21" s="11" t="s">
        <v>122</v>
      </c>
      <c r="C21" s="11" t="s">
        <v>123</v>
      </c>
      <c r="D21" s="11" t="s">
        <v>124</v>
      </c>
      <c r="E21" s="12">
        <v>30134.0</v>
      </c>
      <c r="F21" s="11" t="s">
        <v>125</v>
      </c>
      <c r="G21" s="11" t="s">
        <v>126</v>
      </c>
      <c r="H21" s="11" t="s">
        <v>4</v>
      </c>
      <c r="I21" s="11" t="s">
        <v>127</v>
      </c>
      <c r="J21" s="11" t="s">
        <v>128</v>
      </c>
      <c r="K21" s="13"/>
      <c r="L21" s="13"/>
      <c r="M21" s="14">
        <v>45834.0</v>
      </c>
    </row>
    <row r="22">
      <c r="A22" s="10">
        <v>45812.73782293982</v>
      </c>
      <c r="B22" s="11" t="s">
        <v>129</v>
      </c>
      <c r="C22" s="11" t="s">
        <v>130</v>
      </c>
      <c r="D22" s="11" t="s">
        <v>131</v>
      </c>
      <c r="E22" s="12">
        <v>34262.0</v>
      </c>
      <c r="F22" s="11" t="s">
        <v>132</v>
      </c>
      <c r="G22" s="11" t="s">
        <v>126</v>
      </c>
      <c r="H22" s="11" t="s">
        <v>3</v>
      </c>
      <c r="I22" s="13"/>
      <c r="J22" s="13"/>
      <c r="K22" s="11" t="s">
        <v>133</v>
      </c>
      <c r="L22" s="13"/>
      <c r="M22" s="14">
        <v>45834.0</v>
      </c>
    </row>
    <row r="23">
      <c r="A23" s="10">
        <v>45812.740901446756</v>
      </c>
      <c r="B23" s="11" t="s">
        <v>134</v>
      </c>
      <c r="C23" s="11" t="s">
        <v>135</v>
      </c>
      <c r="D23" s="11" t="s">
        <v>136</v>
      </c>
      <c r="E23" s="12">
        <v>27524.0</v>
      </c>
      <c r="F23" s="11" t="s">
        <v>138</v>
      </c>
      <c r="G23" s="11" t="s">
        <v>139</v>
      </c>
      <c r="H23" s="11" t="s">
        <v>3</v>
      </c>
      <c r="I23" s="13"/>
      <c r="J23" s="13"/>
      <c r="K23" s="11" t="s">
        <v>121</v>
      </c>
      <c r="L23" s="13"/>
      <c r="M23" s="14">
        <v>45834.0</v>
      </c>
    </row>
    <row r="24">
      <c r="A24" s="10">
        <v>45812.741334074075</v>
      </c>
      <c r="B24" s="11" t="s">
        <v>140</v>
      </c>
      <c r="C24" s="11" t="s">
        <v>141</v>
      </c>
      <c r="D24" s="11" t="s">
        <v>142</v>
      </c>
      <c r="E24" s="12">
        <v>32880.0</v>
      </c>
      <c r="F24" s="11" t="s">
        <v>143</v>
      </c>
      <c r="G24" s="11" t="s">
        <v>139</v>
      </c>
      <c r="H24" s="11" t="s">
        <v>3</v>
      </c>
      <c r="I24" s="13"/>
      <c r="J24" s="13"/>
      <c r="K24" s="11" t="s">
        <v>144</v>
      </c>
      <c r="L24" s="13"/>
      <c r="M24" s="14">
        <v>45834.0</v>
      </c>
    </row>
    <row r="25">
      <c r="A25" s="10">
        <v>45812.7425634838</v>
      </c>
      <c r="B25" s="11" t="s">
        <v>145</v>
      </c>
      <c r="C25" s="11" t="s">
        <v>146</v>
      </c>
      <c r="D25" s="11" t="s">
        <v>147</v>
      </c>
      <c r="E25" s="12">
        <v>29671.0</v>
      </c>
      <c r="F25" s="11" t="s">
        <v>148</v>
      </c>
      <c r="G25" s="11" t="s">
        <v>139</v>
      </c>
      <c r="H25" s="11" t="s">
        <v>4</v>
      </c>
      <c r="I25" s="11" t="s">
        <v>149</v>
      </c>
      <c r="J25" s="13"/>
      <c r="K25" s="13"/>
      <c r="L25" s="13"/>
      <c r="M25" s="14">
        <v>45834.0</v>
      </c>
    </row>
    <row r="26">
      <c r="A26" s="10">
        <v>45812.744084756945</v>
      </c>
      <c r="B26" s="11" t="s">
        <v>150</v>
      </c>
      <c r="C26" s="11" t="s">
        <v>151</v>
      </c>
      <c r="D26" s="11" t="s">
        <v>152</v>
      </c>
      <c r="E26" s="12">
        <v>28458.0</v>
      </c>
      <c r="F26" s="11" t="s">
        <v>153</v>
      </c>
      <c r="G26" s="11" t="s">
        <v>139</v>
      </c>
      <c r="H26" s="11" t="s">
        <v>4</v>
      </c>
      <c r="I26" s="11" t="s">
        <v>154</v>
      </c>
      <c r="J26" s="11" t="s">
        <v>155</v>
      </c>
      <c r="K26" s="13"/>
      <c r="L26" s="13"/>
      <c r="M26" s="14">
        <v>45834.0</v>
      </c>
    </row>
    <row r="27">
      <c r="A27" s="10">
        <v>45813.37073385417</v>
      </c>
      <c r="B27" s="11" t="s">
        <v>156</v>
      </c>
      <c r="C27" s="11" t="s">
        <v>157</v>
      </c>
      <c r="D27" s="11" t="s">
        <v>158</v>
      </c>
      <c r="E27" s="12">
        <v>36348.0</v>
      </c>
      <c r="F27" s="11" t="s">
        <v>159</v>
      </c>
      <c r="G27" s="11" t="s">
        <v>160</v>
      </c>
      <c r="H27" s="11" t="s">
        <v>4</v>
      </c>
      <c r="I27" s="11" t="s">
        <v>161</v>
      </c>
      <c r="J27" s="13"/>
      <c r="K27" s="13"/>
      <c r="L27" s="13"/>
      <c r="M27" s="14">
        <v>45834.0</v>
      </c>
    </row>
    <row r="28">
      <c r="A28" s="10">
        <v>45817.40695346065</v>
      </c>
      <c r="B28" s="11" t="s">
        <v>162</v>
      </c>
      <c r="C28" s="11" t="s">
        <v>163</v>
      </c>
      <c r="D28" s="11" t="s">
        <v>164</v>
      </c>
      <c r="E28" s="12">
        <v>26517.0</v>
      </c>
      <c r="F28" s="11" t="s">
        <v>165</v>
      </c>
      <c r="G28" s="11" t="s">
        <v>166</v>
      </c>
      <c r="H28" s="11" t="s">
        <v>3</v>
      </c>
      <c r="I28" s="13"/>
      <c r="J28" s="13"/>
      <c r="K28" s="11" t="s">
        <v>29</v>
      </c>
      <c r="L28" s="13"/>
      <c r="M28" s="14">
        <v>45834.0</v>
      </c>
    </row>
    <row r="29">
      <c r="A29" s="10">
        <v>45817.74718523148</v>
      </c>
      <c r="B29" s="11" t="s">
        <v>167</v>
      </c>
      <c r="C29" s="11" t="s">
        <v>168</v>
      </c>
      <c r="D29" s="11" t="s">
        <v>169</v>
      </c>
      <c r="E29" s="12">
        <v>33795.0</v>
      </c>
      <c r="F29" s="11" t="s">
        <v>170</v>
      </c>
      <c r="G29" s="11" t="s">
        <v>166</v>
      </c>
      <c r="H29" s="11" t="s">
        <v>4</v>
      </c>
      <c r="I29" s="11" t="s">
        <v>171</v>
      </c>
      <c r="J29" s="13"/>
      <c r="K29" s="13"/>
      <c r="L29" s="13"/>
      <c r="M29" s="14">
        <v>45834.0</v>
      </c>
    </row>
    <row r="30">
      <c r="A30" s="10">
        <v>45819.42251052083</v>
      </c>
      <c r="B30" s="11" t="s">
        <v>172</v>
      </c>
      <c r="C30" s="11" t="s">
        <v>173</v>
      </c>
      <c r="D30" s="11" t="s">
        <v>174</v>
      </c>
      <c r="E30" s="12">
        <v>26682.0</v>
      </c>
      <c r="F30" s="11" t="s">
        <v>175</v>
      </c>
      <c r="G30" s="11" t="s">
        <v>176</v>
      </c>
      <c r="H30" s="11" t="s">
        <v>4</v>
      </c>
      <c r="I30" s="11" t="s">
        <v>177</v>
      </c>
      <c r="J30" s="13"/>
      <c r="K30" s="13"/>
      <c r="L30" s="13"/>
      <c r="M30" s="14">
        <v>45834.0</v>
      </c>
    </row>
    <row r="31">
      <c r="A31" s="10">
        <v>45819.55082957176</v>
      </c>
      <c r="B31" s="11" t="s">
        <v>178</v>
      </c>
      <c r="C31" s="11" t="s">
        <v>179</v>
      </c>
      <c r="D31" s="11" t="s">
        <v>180</v>
      </c>
      <c r="E31" s="12">
        <v>38376.0</v>
      </c>
      <c r="F31" s="11" t="s">
        <v>181</v>
      </c>
      <c r="G31" s="11" t="s">
        <v>160</v>
      </c>
      <c r="H31" s="11" t="s">
        <v>4</v>
      </c>
      <c r="I31" s="11" t="s">
        <v>182</v>
      </c>
      <c r="J31" s="13"/>
      <c r="K31" s="13"/>
      <c r="L31" s="13"/>
      <c r="M31" s="14">
        <v>45834.0</v>
      </c>
    </row>
    <row r="32">
      <c r="A32" s="10">
        <v>45819.649608506945</v>
      </c>
      <c r="B32" s="11" t="s">
        <v>183</v>
      </c>
      <c r="C32" s="11" t="s">
        <v>184</v>
      </c>
      <c r="D32" s="11" t="s">
        <v>185</v>
      </c>
      <c r="E32" s="12">
        <v>27047.0</v>
      </c>
      <c r="F32" s="11" t="s">
        <v>186</v>
      </c>
      <c r="G32" s="11" t="s">
        <v>120</v>
      </c>
      <c r="H32" s="11" t="s">
        <v>4</v>
      </c>
      <c r="I32" s="11" t="s">
        <v>188</v>
      </c>
      <c r="J32" s="11" t="s">
        <v>189</v>
      </c>
      <c r="K32" s="13"/>
      <c r="L32" s="13"/>
      <c r="M32" s="14">
        <v>45834.0</v>
      </c>
    </row>
    <row r="33">
      <c r="A33" s="10">
        <v>45819.685972499996</v>
      </c>
      <c r="B33" s="11" t="s">
        <v>190</v>
      </c>
      <c r="C33" s="11" t="s">
        <v>191</v>
      </c>
      <c r="D33" s="11" t="s">
        <v>192</v>
      </c>
      <c r="E33" s="12">
        <v>32244.0</v>
      </c>
      <c r="F33" s="11" t="s">
        <v>193</v>
      </c>
      <c r="G33" s="11" t="s">
        <v>160</v>
      </c>
      <c r="H33" s="11" t="s">
        <v>4</v>
      </c>
      <c r="I33" s="11" t="s">
        <v>194</v>
      </c>
      <c r="J33" s="13"/>
      <c r="K33" s="13"/>
      <c r="L33" s="13"/>
      <c r="M33" s="14">
        <v>45834.0</v>
      </c>
    </row>
    <row r="34">
      <c r="A34" s="10">
        <v>45820.69915747685</v>
      </c>
      <c r="B34" s="11" t="s">
        <v>195</v>
      </c>
      <c r="C34" s="11" t="s">
        <v>196</v>
      </c>
      <c r="D34" s="11" t="s">
        <v>197</v>
      </c>
      <c r="E34" s="12">
        <v>28627.0</v>
      </c>
      <c r="F34" s="11" t="s">
        <v>198</v>
      </c>
      <c r="G34" s="11" t="s">
        <v>199</v>
      </c>
      <c r="H34" s="11" t="s">
        <v>4</v>
      </c>
      <c r="I34" s="11" t="s">
        <v>200</v>
      </c>
      <c r="J34" s="13"/>
      <c r="K34" s="13"/>
      <c r="L34" s="13"/>
      <c r="M34" s="14">
        <v>45834.0</v>
      </c>
    </row>
    <row r="35">
      <c r="A35" s="10">
        <v>45820.70127939815</v>
      </c>
      <c r="B35" s="11" t="s">
        <v>195</v>
      </c>
      <c r="C35" s="11" t="s">
        <v>202</v>
      </c>
      <c r="D35" s="11" t="s">
        <v>203</v>
      </c>
      <c r="E35" s="12">
        <v>28551.0</v>
      </c>
      <c r="F35" s="11" t="s">
        <v>204</v>
      </c>
      <c r="G35" s="11" t="s">
        <v>199</v>
      </c>
      <c r="H35" s="11" t="s">
        <v>4</v>
      </c>
      <c r="I35" s="11" t="s">
        <v>205</v>
      </c>
      <c r="J35" s="13"/>
      <c r="K35" s="13"/>
      <c r="L35" s="13"/>
      <c r="M35" s="14">
        <v>45834.0</v>
      </c>
    </row>
    <row r="36">
      <c r="A36" s="10">
        <v>45820.70660172454</v>
      </c>
      <c r="B36" s="11" t="s">
        <v>195</v>
      </c>
      <c r="C36" s="11" t="s">
        <v>206</v>
      </c>
      <c r="D36" s="11" t="s">
        <v>207</v>
      </c>
      <c r="E36" s="12">
        <v>33322.0</v>
      </c>
      <c r="F36" s="11" t="s">
        <v>208</v>
      </c>
      <c r="G36" s="11" t="s">
        <v>199</v>
      </c>
      <c r="H36" s="11" t="s">
        <v>3</v>
      </c>
      <c r="I36" s="13"/>
      <c r="J36" s="13"/>
      <c r="K36" s="11" t="s">
        <v>209</v>
      </c>
      <c r="L36" s="13"/>
      <c r="M36" s="14">
        <v>45834.0</v>
      </c>
    </row>
    <row r="37">
      <c r="A37" s="10">
        <v>45820.711544942125</v>
      </c>
      <c r="B37" s="11" t="s">
        <v>195</v>
      </c>
      <c r="C37" s="11" t="s">
        <v>211</v>
      </c>
      <c r="D37" s="11" t="s">
        <v>212</v>
      </c>
      <c r="E37" s="12">
        <v>32799.0</v>
      </c>
      <c r="F37" s="11" t="s">
        <v>213</v>
      </c>
      <c r="G37" s="11" t="s">
        <v>199</v>
      </c>
      <c r="H37" s="11" t="s">
        <v>3</v>
      </c>
      <c r="I37" s="13"/>
      <c r="J37" s="13"/>
      <c r="K37" s="11" t="s">
        <v>205</v>
      </c>
      <c r="L37" s="13"/>
      <c r="M37" s="14">
        <v>45834.0</v>
      </c>
    </row>
    <row r="38">
      <c r="A38" s="10">
        <v>45820.830318692126</v>
      </c>
      <c r="B38" s="11" t="s">
        <v>214</v>
      </c>
      <c r="C38" s="11" t="s">
        <v>215</v>
      </c>
      <c r="D38" s="11" t="s">
        <v>216</v>
      </c>
      <c r="E38" s="12">
        <v>25882.0</v>
      </c>
      <c r="F38" s="11" t="s">
        <v>217</v>
      </c>
      <c r="G38" s="11" t="s">
        <v>218</v>
      </c>
      <c r="H38" s="11" t="s">
        <v>3</v>
      </c>
      <c r="I38" s="13"/>
      <c r="J38" s="13"/>
      <c r="K38" s="11" t="s">
        <v>219</v>
      </c>
      <c r="L38" s="13"/>
      <c r="M38" s="14">
        <v>45834.0</v>
      </c>
    </row>
    <row r="39">
      <c r="A39" s="10">
        <v>45821.410342256946</v>
      </c>
      <c r="B39" s="11" t="s">
        <v>220</v>
      </c>
      <c r="C39" s="11" t="s">
        <v>221</v>
      </c>
      <c r="D39" s="11" t="s">
        <v>222</v>
      </c>
      <c r="E39" s="12">
        <v>30249.0</v>
      </c>
      <c r="F39" s="11" t="s">
        <v>223</v>
      </c>
      <c r="G39" s="11" t="s">
        <v>224</v>
      </c>
      <c r="H39" s="11" t="s">
        <v>4</v>
      </c>
      <c r="I39" s="11" t="s">
        <v>225</v>
      </c>
      <c r="J39" s="11" t="s">
        <v>226</v>
      </c>
      <c r="K39" s="13"/>
      <c r="L39" s="13"/>
      <c r="M39" s="14">
        <v>45834.0</v>
      </c>
    </row>
    <row r="40">
      <c r="A40" s="10">
        <v>45824.42271518518</v>
      </c>
      <c r="B40" s="11" t="s">
        <v>227</v>
      </c>
      <c r="C40" s="11" t="s">
        <v>228</v>
      </c>
      <c r="D40" s="11" t="s">
        <v>229</v>
      </c>
      <c r="E40" s="12">
        <v>24068.0</v>
      </c>
      <c r="F40" s="11" t="s">
        <v>230</v>
      </c>
      <c r="G40" s="11" t="s">
        <v>224</v>
      </c>
      <c r="H40" s="11" t="s">
        <v>4</v>
      </c>
      <c r="I40" s="11" t="s">
        <v>231</v>
      </c>
      <c r="J40" s="13"/>
      <c r="K40" s="13"/>
      <c r="L40" s="13"/>
      <c r="M40" s="14">
        <v>45834.0</v>
      </c>
    </row>
    <row r="41">
      <c r="A41" s="10">
        <v>45825.459038182875</v>
      </c>
      <c r="B41" s="11" t="s">
        <v>232</v>
      </c>
      <c r="C41" s="11" t="s">
        <v>233</v>
      </c>
      <c r="D41" s="11" t="s">
        <v>234</v>
      </c>
      <c r="E41" s="12">
        <v>26853.0</v>
      </c>
      <c r="F41" s="11" t="s">
        <v>235</v>
      </c>
      <c r="G41" s="11" t="s">
        <v>218</v>
      </c>
      <c r="H41" s="11" t="s">
        <v>4</v>
      </c>
      <c r="I41" s="11" t="s">
        <v>236</v>
      </c>
      <c r="J41" s="13"/>
      <c r="K41" s="13"/>
      <c r="L41" s="13"/>
      <c r="M41" s="14">
        <v>45834.0</v>
      </c>
    </row>
    <row r="42">
      <c r="A42" s="26">
        <v>45831.48024359954</v>
      </c>
      <c r="B42" s="27" t="s">
        <v>237</v>
      </c>
      <c r="C42" s="27" t="s">
        <v>238</v>
      </c>
      <c r="D42" s="27" t="s">
        <v>239</v>
      </c>
      <c r="E42" s="28">
        <v>28797.0</v>
      </c>
      <c r="F42" s="27" t="s">
        <v>240</v>
      </c>
      <c r="G42" s="27" t="s">
        <v>70</v>
      </c>
      <c r="H42" s="27" t="s">
        <v>3</v>
      </c>
      <c r="I42" s="29"/>
      <c r="J42" s="29"/>
      <c r="K42" s="27" t="s">
        <v>241</v>
      </c>
      <c r="L42" s="29"/>
      <c r="M42" s="33">
        <f>VLOOKUP(G42,Tabela_1[],2,FALSE)</f>
        <v>45833</v>
      </c>
    </row>
    <row r="43">
      <c r="A43" s="26">
        <v>45825.61761252314</v>
      </c>
      <c r="B43" s="27" t="s">
        <v>244</v>
      </c>
      <c r="C43" s="27" t="s">
        <v>245</v>
      </c>
      <c r="D43" s="27" t="s">
        <v>246</v>
      </c>
      <c r="E43" s="28">
        <v>38133.0</v>
      </c>
      <c r="F43" s="27" t="s">
        <v>247</v>
      </c>
      <c r="G43" s="27" t="s">
        <v>243</v>
      </c>
      <c r="H43" s="27" t="s">
        <v>4</v>
      </c>
      <c r="I43" s="27" t="s">
        <v>248</v>
      </c>
      <c r="J43" s="29"/>
      <c r="K43" s="29"/>
      <c r="L43" s="29"/>
      <c r="M43" s="33">
        <f>VLOOKUP(G43,Tabela_1[],2,FALSE)</f>
        <v>45833</v>
      </c>
    </row>
    <row r="44">
      <c r="A44" s="26">
        <v>45825.62270266203</v>
      </c>
      <c r="B44" s="27" t="s">
        <v>249</v>
      </c>
      <c r="C44" s="27" t="s">
        <v>250</v>
      </c>
      <c r="D44" s="27" t="s">
        <v>251</v>
      </c>
      <c r="E44" s="28">
        <v>38133.0</v>
      </c>
      <c r="F44" s="27" t="s">
        <v>252</v>
      </c>
      <c r="G44" s="27" t="s">
        <v>243</v>
      </c>
      <c r="H44" s="27" t="s">
        <v>4</v>
      </c>
      <c r="I44" s="27" t="s">
        <v>253</v>
      </c>
      <c r="J44" s="29"/>
      <c r="K44" s="29"/>
      <c r="L44" s="29"/>
      <c r="M44" s="33">
        <f>VLOOKUP(G44,Tabela_1[],2,FALSE)</f>
        <v>45833</v>
      </c>
    </row>
    <row r="45">
      <c r="A45" s="26">
        <v>45825.626142175926</v>
      </c>
      <c r="B45" s="27" t="s">
        <v>254</v>
      </c>
      <c r="C45" s="27" t="s">
        <v>255</v>
      </c>
      <c r="D45" s="27" t="s">
        <v>256</v>
      </c>
      <c r="E45" s="28">
        <v>29016.0</v>
      </c>
      <c r="F45" s="27" t="s">
        <v>257</v>
      </c>
      <c r="G45" s="27" t="s">
        <v>243</v>
      </c>
      <c r="H45" s="27" t="s">
        <v>3</v>
      </c>
      <c r="I45" s="29"/>
      <c r="J45" s="29"/>
      <c r="K45" s="27" t="s">
        <v>258</v>
      </c>
      <c r="L45" s="29"/>
      <c r="M45" s="33">
        <f>VLOOKUP(G45,Tabela_1[],2,FALSE)</f>
        <v>45833</v>
      </c>
    </row>
    <row r="46">
      <c r="A46" s="26">
        <v>45826.69987671296</v>
      </c>
      <c r="B46" s="27" t="s">
        <v>259</v>
      </c>
      <c r="C46" s="27" t="s">
        <v>260</v>
      </c>
      <c r="D46" s="27" t="s">
        <v>261</v>
      </c>
      <c r="E46" s="28">
        <v>28454.0</v>
      </c>
      <c r="F46" s="27" t="s">
        <v>262</v>
      </c>
      <c r="G46" s="27" t="s">
        <v>243</v>
      </c>
      <c r="H46" s="27" t="s">
        <v>3</v>
      </c>
      <c r="I46" s="29"/>
      <c r="J46" s="29"/>
      <c r="K46" s="27" t="s">
        <v>264</v>
      </c>
      <c r="L46" s="29"/>
      <c r="M46" s="33">
        <f>VLOOKUP(G46,Tabela_1[],2,FALSE)</f>
        <v>45833</v>
      </c>
    </row>
    <row r="47">
      <c r="A47" s="26">
        <v>45831.356403275466</v>
      </c>
      <c r="B47" s="27" t="s">
        <v>266</v>
      </c>
      <c r="C47" s="27" t="s">
        <v>267</v>
      </c>
      <c r="D47" s="27" t="s">
        <v>268</v>
      </c>
      <c r="E47" s="28">
        <v>24163.0</v>
      </c>
      <c r="F47" s="27" t="s">
        <v>269</v>
      </c>
      <c r="G47" s="27" t="s">
        <v>86</v>
      </c>
      <c r="H47" s="27" t="s">
        <v>3</v>
      </c>
      <c r="I47" s="29"/>
      <c r="J47" s="29"/>
      <c r="K47" s="27" t="s">
        <v>121</v>
      </c>
      <c r="L47" s="29"/>
      <c r="M47" s="33">
        <f>VLOOKUP(G47,Tabela_1[],2,FALSE)</f>
        <v>45833</v>
      </c>
    </row>
    <row r="48">
      <c r="A48" s="26">
        <v>45831.39973480324</v>
      </c>
      <c r="B48" s="27" t="s">
        <v>270</v>
      </c>
      <c r="C48" s="27" t="s">
        <v>271</v>
      </c>
      <c r="D48" s="27" t="s">
        <v>272</v>
      </c>
      <c r="E48" s="28">
        <v>38145.0</v>
      </c>
      <c r="F48" s="27" t="s">
        <v>273</v>
      </c>
      <c r="G48" s="27" t="s">
        <v>265</v>
      </c>
      <c r="H48" s="27" t="s">
        <v>4</v>
      </c>
      <c r="I48" s="27" t="s">
        <v>274</v>
      </c>
      <c r="J48" s="29"/>
      <c r="K48" s="29"/>
      <c r="L48" s="29"/>
      <c r="M48" s="33">
        <f>VLOOKUP(G48,Tabela_1[],2,FALSE)</f>
        <v>45834</v>
      </c>
    </row>
    <row r="49">
      <c r="A49" s="26">
        <v>45831.750984513885</v>
      </c>
      <c r="B49" s="27" t="s">
        <v>276</v>
      </c>
      <c r="C49" s="27" t="s">
        <v>277</v>
      </c>
      <c r="D49" s="27" t="s">
        <v>278</v>
      </c>
      <c r="E49" s="28">
        <v>32228.0</v>
      </c>
      <c r="F49" s="27" t="s">
        <v>279</v>
      </c>
      <c r="G49" s="27" t="s">
        <v>218</v>
      </c>
      <c r="H49" s="27" t="s">
        <v>4</v>
      </c>
      <c r="I49" s="27" t="s">
        <v>280</v>
      </c>
      <c r="J49" s="29"/>
      <c r="K49" s="29"/>
      <c r="L49" s="29"/>
      <c r="M49" s="33">
        <f>VLOOKUP(G49,Tabela_1[],2,FALSE)</f>
        <v>45834</v>
      </c>
    </row>
    <row r="50">
      <c r="A50" s="26">
        <v>45825.61459719908</v>
      </c>
      <c r="B50" s="27" t="s">
        <v>214</v>
      </c>
      <c r="C50" s="27" t="s">
        <v>281</v>
      </c>
      <c r="D50" s="27" t="s">
        <v>282</v>
      </c>
      <c r="E50" s="28">
        <v>25882.0</v>
      </c>
      <c r="F50" s="27" t="s">
        <v>217</v>
      </c>
      <c r="G50" s="27" t="s">
        <v>218</v>
      </c>
      <c r="H50" s="27" t="s">
        <v>3</v>
      </c>
      <c r="I50" s="29"/>
      <c r="J50" s="29"/>
      <c r="K50" s="27" t="s">
        <v>283</v>
      </c>
      <c r="L50" s="29"/>
      <c r="M50" s="33">
        <f>VLOOKUP(G50,Tabela_1[],2,FALSE)</f>
        <v>45834</v>
      </c>
    </row>
    <row r="51">
      <c r="A51" s="26">
        <v>45832.342260219906</v>
      </c>
      <c r="B51" s="27" t="s">
        <v>284</v>
      </c>
      <c r="C51" s="27" t="s">
        <v>285</v>
      </c>
      <c r="D51" s="27" t="s">
        <v>286</v>
      </c>
      <c r="E51" s="28">
        <v>30589.0</v>
      </c>
      <c r="F51" s="27" t="s">
        <v>287</v>
      </c>
      <c r="G51" s="27" t="s">
        <v>265</v>
      </c>
      <c r="H51" s="27" t="s">
        <v>4</v>
      </c>
      <c r="I51" s="27" t="s">
        <v>288</v>
      </c>
      <c r="J51" s="29"/>
      <c r="K51" s="29"/>
      <c r="L51" s="29"/>
      <c r="M51" s="33">
        <f>VLOOKUP(G51,Tabela_1[],2,FALSE)</f>
        <v>45834</v>
      </c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5" max="5" width="13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/>
      <c r="G1" s="5"/>
    </row>
    <row r="2">
      <c r="A2" s="6">
        <v>5103056.0</v>
      </c>
      <c r="B2" s="7" t="s">
        <v>5</v>
      </c>
      <c r="C2" s="6">
        <v>91.4</v>
      </c>
      <c r="D2" s="15">
        <f>COUNTIFS(Form_Responses1[Você faz parte do:],$D$1,Form_Responses1[Município que representa:],$B2)</f>
        <v>0</v>
      </c>
      <c r="E2" s="15">
        <f>COUNTIFS(Form_Responses1[Você faz parte do:],$E$1,Form_Responses1[Município que representa:],$B2)</f>
        <v>0</v>
      </c>
      <c r="F2" s="16"/>
      <c r="G2" s="5" t="str">
        <f t="shared" ref="G2:G28" si="1">CONCATENATE(D2, "/", E2)</f>
        <v>0/0</v>
      </c>
    </row>
    <row r="3">
      <c r="A3" s="6">
        <v>5103205.0</v>
      </c>
      <c r="B3" s="7" t="s">
        <v>59</v>
      </c>
      <c r="C3" s="6">
        <v>153.8</v>
      </c>
      <c r="D3" s="15">
        <f>COUNTIFS(Form_Responses1[Você faz parte do:],$D$1,Form_Responses1[Município que representa:],$B3)</f>
        <v>2</v>
      </c>
      <c r="E3" s="15">
        <f>COUNTIFS(Form_Responses1[Você faz parte do:],$E$1,Form_Responses1[Município que representa:],$B3)</f>
        <v>2</v>
      </c>
      <c r="F3" s="16"/>
      <c r="G3" s="5" t="str">
        <f t="shared" si="1"/>
        <v>2/2</v>
      </c>
    </row>
    <row r="4">
      <c r="A4" s="6">
        <v>5103700.0</v>
      </c>
      <c r="B4" s="7" t="s">
        <v>23</v>
      </c>
      <c r="C4" s="6">
        <v>123.2</v>
      </c>
      <c r="D4" s="15">
        <f>COUNTIFS(Form_Responses1[Você faz parte do:],$D$1,Form_Responses1[Município que representa:],$B4)</f>
        <v>3</v>
      </c>
      <c r="E4" s="15">
        <f>COUNTIFS(Form_Responses1[Você faz parte do:],$E$1,Form_Responses1[Município que representa:],$B4)</f>
        <v>1</v>
      </c>
      <c r="F4" s="16"/>
      <c r="G4" s="5" t="str">
        <f t="shared" si="1"/>
        <v>3/1</v>
      </c>
    </row>
    <row r="5">
      <c r="A5" s="6">
        <v>5104104.0</v>
      </c>
      <c r="B5" s="7" t="s">
        <v>86</v>
      </c>
      <c r="C5" s="6">
        <v>232.5</v>
      </c>
      <c r="D5" s="15">
        <f>COUNTIFS(Form_Responses1[Você faz parte do:],$D$1,Form_Responses1[Município que representa:],$B5)</f>
        <v>1</v>
      </c>
      <c r="E5" s="15">
        <f>COUNTIFS(Form_Responses1[Você faz parte do:],$E$1,Form_Responses1[Município que representa:],$B5)</f>
        <v>3</v>
      </c>
      <c r="F5" s="16"/>
      <c r="G5" s="5" t="str">
        <f t="shared" si="1"/>
        <v>1/3</v>
      </c>
    </row>
    <row r="6">
      <c r="A6" s="6">
        <v>5104526.0</v>
      </c>
      <c r="B6" s="7" t="s">
        <v>187</v>
      </c>
      <c r="C6" s="6">
        <v>148.5</v>
      </c>
      <c r="D6" s="15">
        <f>COUNTIFS(Form_Responses1[Você faz parte do:],$D$1,Form_Responses1[Município que representa:],$B6)</f>
        <v>0</v>
      </c>
      <c r="E6" s="15">
        <f>COUNTIFS(Form_Responses1[Você faz parte do:],$E$1,Form_Responses1[Município que representa:],$B6)</f>
        <v>0</v>
      </c>
      <c r="F6" s="16"/>
      <c r="G6" s="5" t="str">
        <f t="shared" si="1"/>
        <v>0/0</v>
      </c>
    </row>
    <row r="7">
      <c r="A7" s="6">
        <v>5104542.0</v>
      </c>
      <c r="B7" s="7" t="s">
        <v>70</v>
      </c>
      <c r="C7" s="6">
        <v>306.6</v>
      </c>
      <c r="D7" s="15">
        <f>COUNTIFS(Form_Responses1[Você faz parte do:],$D$1,Form_Responses1[Município que representa:],$B7)</f>
        <v>2</v>
      </c>
      <c r="E7" s="15">
        <f>COUNTIFS(Form_Responses1[Você faz parte do:],$E$1,Form_Responses1[Município que representa:],$B7)</f>
        <v>3</v>
      </c>
      <c r="F7" s="16"/>
      <c r="G7" s="5" t="str">
        <f t="shared" si="1"/>
        <v>2/3</v>
      </c>
    </row>
    <row r="8">
      <c r="A8" s="6">
        <v>5104559.0</v>
      </c>
      <c r="B8" s="7" t="s">
        <v>201</v>
      </c>
      <c r="C8" s="6">
        <v>101.0</v>
      </c>
      <c r="D8" s="15">
        <f>COUNTIFS(Form_Responses1[Você faz parte do:],$D$1,Form_Responses1[Município que representa:],$B8)</f>
        <v>0</v>
      </c>
      <c r="E8" s="15">
        <f>COUNTIFS(Form_Responses1[Você faz parte do:],$E$1,Form_Responses1[Município que representa:],$B8)</f>
        <v>0</v>
      </c>
      <c r="F8" s="16"/>
      <c r="G8" s="5" t="str">
        <f t="shared" si="1"/>
        <v>0/0</v>
      </c>
    </row>
    <row r="9">
      <c r="A9" s="6">
        <v>5105259.0</v>
      </c>
      <c r="B9" s="7" t="s">
        <v>210</v>
      </c>
      <c r="C9" s="6">
        <v>147.6</v>
      </c>
      <c r="D9" s="15">
        <f>COUNTIFS(Form_Responses1[Você faz parte do:],$D$1,Form_Responses1[Município que representa:],$B9)</f>
        <v>0</v>
      </c>
      <c r="E9" s="15">
        <f>COUNTIFS(Form_Responses1[Você faz parte do:],$E$1,Form_Responses1[Município que representa:],$B9)</f>
        <v>0</v>
      </c>
      <c r="F9" s="16"/>
      <c r="G9" s="5" t="str">
        <f t="shared" si="1"/>
        <v>0/0</v>
      </c>
    </row>
    <row r="10">
      <c r="A10" s="6">
        <v>5105580.0</v>
      </c>
      <c r="B10" s="7" t="s">
        <v>199</v>
      </c>
      <c r="C10" s="6">
        <v>209.4</v>
      </c>
      <c r="D10" s="15">
        <f>COUNTIFS(Form_Responses1[Você faz parte do:],$D$1,Form_Responses1[Município que representa:],$B10)</f>
        <v>2</v>
      </c>
      <c r="E10" s="15">
        <f>COUNTIFS(Form_Responses1[Você faz parte do:],$E$1,Form_Responses1[Município que representa:],$B10)</f>
        <v>2</v>
      </c>
      <c r="F10" s="16"/>
      <c r="G10" s="5" t="str">
        <f t="shared" si="1"/>
        <v>2/2</v>
      </c>
    </row>
    <row r="11">
      <c r="A11" s="6">
        <v>5105606.0</v>
      </c>
      <c r="B11" s="7" t="s">
        <v>40</v>
      </c>
      <c r="C11" s="6">
        <v>204.5</v>
      </c>
      <c r="D11" s="15">
        <f>COUNTIFS(Form_Responses1[Você faz parte do:],$D$1,Form_Responses1[Município que representa:],$B11)</f>
        <v>0</v>
      </c>
      <c r="E11" s="15">
        <f>COUNTIFS(Form_Responses1[Você faz parte do:],$E$1,Form_Responses1[Município que representa:],$B11)</f>
        <v>2</v>
      </c>
      <c r="F11" s="16"/>
      <c r="G11" s="5" t="str">
        <f t="shared" si="1"/>
        <v>0/2</v>
      </c>
    </row>
    <row r="12">
      <c r="A12" s="6">
        <v>5108808.0</v>
      </c>
      <c r="B12" s="7" t="s">
        <v>52</v>
      </c>
      <c r="C12" s="6">
        <v>197.4</v>
      </c>
      <c r="D12" s="15">
        <f>COUNTIFS(Form_Responses1[Você faz parte do:],$D$1,Form_Responses1[Município que representa:],$B12)</f>
        <v>1</v>
      </c>
      <c r="E12" s="15">
        <f>COUNTIFS(Form_Responses1[Você faz parte do:],$E$1,Form_Responses1[Município que representa:],$B12)</f>
        <v>1</v>
      </c>
      <c r="F12" s="16"/>
      <c r="G12" s="5" t="str">
        <f t="shared" si="1"/>
        <v>1/1</v>
      </c>
    </row>
    <row r="13">
      <c r="A13" s="6">
        <v>5108907.0</v>
      </c>
      <c r="B13" s="7" t="s">
        <v>58</v>
      </c>
      <c r="C13" s="6">
        <v>344.3</v>
      </c>
      <c r="D13" s="15">
        <f>COUNTIFS(Form_Responses1[Você faz parte do:],$D$1,Form_Responses1[Município que representa:],$B13)</f>
        <v>1</v>
      </c>
      <c r="E13" s="15">
        <f>COUNTIFS(Form_Responses1[Você faz parte do:],$E$1,Form_Responses1[Município que representa:],$B13)</f>
        <v>1</v>
      </c>
      <c r="F13" s="16"/>
      <c r="G13" s="5" t="str">
        <f t="shared" si="1"/>
        <v>1/1</v>
      </c>
    </row>
    <row r="14">
      <c r="A14" s="6">
        <v>5106190.0</v>
      </c>
      <c r="B14" s="7" t="s">
        <v>242</v>
      </c>
      <c r="C14" s="6">
        <v>120.1</v>
      </c>
      <c r="D14" s="15">
        <f>COUNTIFS(Form_Responses1[Você faz parte do:],$D$1,Form_Responses1[Município que representa:],$B14)</f>
        <v>0</v>
      </c>
      <c r="E14" s="15">
        <f>COUNTIFS(Form_Responses1[Você faz parte do:],$E$1,Form_Responses1[Município que representa:],$B14)</f>
        <v>0</v>
      </c>
      <c r="F14" s="16"/>
      <c r="G14" s="5" t="str">
        <f t="shared" si="1"/>
        <v>0/0</v>
      </c>
    </row>
    <row r="15">
      <c r="A15" s="6">
        <v>5106240.0</v>
      </c>
      <c r="B15" s="7" t="s">
        <v>176</v>
      </c>
      <c r="C15" s="6">
        <v>165.5</v>
      </c>
      <c r="D15" s="15">
        <f>COUNTIFS(Form_Responses1[Você faz parte do:],$D$1,Form_Responses1[Município que representa:],$B15)</f>
        <v>0</v>
      </c>
      <c r="E15" s="15">
        <f>COUNTIFS(Form_Responses1[Você faz parte do:],$E$1,Form_Responses1[Município que representa:],$B15)</f>
        <v>1</v>
      </c>
      <c r="F15" s="16"/>
      <c r="G15" s="5" t="str">
        <f t="shared" si="1"/>
        <v>0/1</v>
      </c>
    </row>
    <row r="16">
      <c r="A16" s="6">
        <v>5106265.0</v>
      </c>
      <c r="B16" s="7" t="s">
        <v>224</v>
      </c>
      <c r="C16" s="6">
        <v>261.3</v>
      </c>
      <c r="D16" s="15">
        <f>COUNTIFS(Form_Responses1[Você faz parte do:],$D$1,Form_Responses1[Município que representa:],$B16)</f>
        <v>1</v>
      </c>
      <c r="E16" s="15">
        <f>COUNTIFS(Form_Responses1[Você faz parte do:],$E$1,Form_Responses1[Município que representa:],$B16)</f>
        <v>2</v>
      </c>
      <c r="F16" s="16"/>
      <c r="G16" s="5" t="str">
        <f t="shared" si="1"/>
        <v>1/2</v>
      </c>
    </row>
    <row r="17">
      <c r="A17" s="6">
        <v>5106422.0</v>
      </c>
      <c r="B17" s="7" t="s">
        <v>139</v>
      </c>
      <c r="C17" s="6">
        <v>194.3</v>
      </c>
      <c r="D17" s="15">
        <f>COUNTIFS(Form_Responses1[Você faz parte do:],$D$1,Form_Responses1[Município que representa:],$B17)</f>
        <v>2</v>
      </c>
      <c r="E17" s="15">
        <f>COUNTIFS(Form_Responses1[Você faz parte do:],$E$1,Form_Responses1[Município que representa:],$B17)</f>
        <v>2</v>
      </c>
      <c r="F17" s="16"/>
      <c r="G17" s="5" t="str">
        <f t="shared" si="1"/>
        <v>2/2</v>
      </c>
    </row>
    <row r="18">
      <c r="A18" s="6">
        <v>5107248.0</v>
      </c>
      <c r="B18" s="7" t="s">
        <v>120</v>
      </c>
      <c r="C18" s="6">
        <v>37.4</v>
      </c>
      <c r="D18" s="15">
        <f>COUNTIFS(Form_Responses1[Você faz parte do:],$D$1,Form_Responses1[Município que representa:],$B18)</f>
        <v>1</v>
      </c>
      <c r="E18" s="15">
        <f>COUNTIFS(Form_Responses1[Você faz parte do:],$E$1,Form_Responses1[Município que representa:],$B18)</f>
        <v>1</v>
      </c>
      <c r="F18" s="16"/>
      <c r="G18" s="5" t="str">
        <f t="shared" si="1"/>
        <v>1/1</v>
      </c>
    </row>
    <row r="19">
      <c r="A19" s="6">
        <v>5107768.0</v>
      </c>
      <c r="B19" s="7" t="s">
        <v>263</v>
      </c>
      <c r="C19" s="6">
        <v>349.9</v>
      </c>
      <c r="D19" s="15">
        <f>COUNTIFS(Form_Responses1[Você faz parte do:],$D$1,Form_Responses1[Município que representa:],$B19)</f>
        <v>0</v>
      </c>
      <c r="E19" s="15">
        <f>COUNTIFS(Form_Responses1[Você faz parte do:],$E$1,Form_Responses1[Município que representa:],$B19)</f>
        <v>0</v>
      </c>
      <c r="F19" s="16"/>
      <c r="G19" s="5" t="str">
        <f t="shared" si="1"/>
        <v>0/0</v>
      </c>
    </row>
    <row r="20">
      <c r="A20" s="6">
        <v>5107305.0</v>
      </c>
      <c r="B20" s="7" t="s">
        <v>265</v>
      </c>
      <c r="C20" s="6">
        <v>271.3</v>
      </c>
      <c r="D20" s="15">
        <f>COUNTIFS(Form_Responses1[Você faz parte do:],$D$1,Form_Responses1[Município que representa:],$B20)</f>
        <v>1</v>
      </c>
      <c r="E20" s="15">
        <f>COUNTIFS(Form_Responses1[Você faz parte do:],$E$1,Form_Responses1[Município que representa:],$B20)</f>
        <v>2</v>
      </c>
      <c r="F20" s="16"/>
      <c r="G20" s="5" t="str">
        <f t="shared" si="1"/>
        <v>1/2</v>
      </c>
    </row>
    <row r="21">
      <c r="A21" s="6">
        <v>5107909.0</v>
      </c>
      <c r="B21" s="7" t="s">
        <v>160</v>
      </c>
      <c r="C21" s="6">
        <v>0.0</v>
      </c>
      <c r="D21" s="15">
        <f>COUNTIFS(Form_Responses1[Você faz parte do:],$D$1,Form_Responses1[Município que representa:],$B21)</f>
        <v>0</v>
      </c>
      <c r="E21" s="15">
        <f>COUNTIFS(Form_Responses1[Você faz parte do:],$E$1,Form_Responses1[Município que representa:],$B21)</f>
        <v>3</v>
      </c>
      <c r="F21" s="16"/>
      <c r="G21" s="5" t="str">
        <f t="shared" si="1"/>
        <v>0/3</v>
      </c>
    </row>
    <row r="22">
      <c r="A22" s="6">
        <v>5107925.0</v>
      </c>
      <c r="B22" s="7" t="s">
        <v>218</v>
      </c>
      <c r="C22" s="6">
        <v>85.3</v>
      </c>
      <c r="D22" s="15">
        <f>COUNTIFS(Form_Responses1[Você faz parte do:],$D$1,Form_Responses1[Município que representa:],$B22)</f>
        <v>3</v>
      </c>
      <c r="E22" s="15">
        <f>COUNTIFS(Form_Responses1[Você faz parte do:],$E$1,Form_Responses1[Município que representa:],$B22)</f>
        <v>2</v>
      </c>
      <c r="F22" s="16"/>
      <c r="G22" s="5" t="str">
        <f t="shared" si="1"/>
        <v>3/2</v>
      </c>
    </row>
    <row r="23">
      <c r="A23" s="6">
        <v>5108006.0</v>
      </c>
      <c r="B23" s="7" t="s">
        <v>275</v>
      </c>
      <c r="C23" s="6">
        <v>244.0</v>
      </c>
      <c r="D23" s="15">
        <f>COUNTIFS(Form_Responses1[Você faz parte do:],$D$1,Form_Responses1[Município que representa:],$B23)</f>
        <v>0</v>
      </c>
      <c r="E23" s="15">
        <f>COUNTIFS(Form_Responses1[Você faz parte do:],$E$1,Form_Responses1[Município que representa:],$B23)</f>
        <v>0</v>
      </c>
      <c r="F23" s="16"/>
      <c r="G23" s="5" t="str">
        <f t="shared" si="1"/>
        <v>0/0</v>
      </c>
    </row>
    <row r="24">
      <c r="A24" s="6">
        <v>5108055.0</v>
      </c>
      <c r="B24" s="7" t="s">
        <v>166</v>
      </c>
      <c r="C24" s="6">
        <v>152.8</v>
      </c>
      <c r="D24" s="15">
        <f>COUNTIFS(Form_Responses1[Você faz parte do:],$D$1,Form_Responses1[Município que representa:],$B24)</f>
        <v>1</v>
      </c>
      <c r="E24" s="15">
        <f>COUNTIFS(Form_Responses1[Você faz parte do:],$E$1,Form_Responses1[Município que representa:],$B24)</f>
        <v>2</v>
      </c>
      <c r="F24" s="16"/>
      <c r="G24" s="5" t="str">
        <f t="shared" si="1"/>
        <v>1/2</v>
      </c>
    </row>
    <row r="25">
      <c r="A25" s="6">
        <v>5108303.0</v>
      </c>
      <c r="B25" s="7" t="s">
        <v>126</v>
      </c>
      <c r="C25" s="6">
        <v>165.3</v>
      </c>
      <c r="D25" s="15">
        <f>COUNTIFS(Form_Responses1[Você faz parte do:],$D$1,Form_Responses1[Município que representa:],$B25)</f>
        <v>1</v>
      </c>
      <c r="E25" s="15">
        <f>COUNTIFS(Form_Responses1[Você faz parte do:],$E$1,Form_Responses1[Município que representa:],$B25)</f>
        <v>1</v>
      </c>
      <c r="F25" s="16"/>
      <c r="G25" s="5" t="str">
        <f t="shared" si="1"/>
        <v>1/1</v>
      </c>
    </row>
    <row r="26">
      <c r="A26" s="6"/>
      <c r="B26" s="7" t="s">
        <v>243</v>
      </c>
      <c r="C26" s="6"/>
      <c r="D26" s="15">
        <f>COUNTIFS(Form_Responses1[Você faz parte do:],$D$1,Form_Responses1[Município que representa:],$B26)</f>
        <v>2</v>
      </c>
      <c r="E26" s="15">
        <f>COUNTIFS(Form_Responses1[Você faz parte do:],$E$1,Form_Responses1[Município que representa:],$B26)</f>
        <v>2</v>
      </c>
      <c r="F26" s="16"/>
      <c r="G26" s="5" t="str">
        <f t="shared" si="1"/>
        <v>2/2</v>
      </c>
    </row>
    <row r="27">
      <c r="A27" s="6">
        <v>5108501.0</v>
      </c>
      <c r="B27" s="7" t="s">
        <v>289</v>
      </c>
      <c r="C27" s="6">
        <v>74.8</v>
      </c>
      <c r="D27" s="15">
        <f>COUNTIFS(Form_Responses1[Você faz parte do:],$D$1,Form_Responses1[Município que representa:],$B27)</f>
        <v>0</v>
      </c>
      <c r="E27" s="15">
        <f>COUNTIFS(Form_Responses1[Você faz parte do:],$E$1,Form_Responses1[Município que representa:],$B27)</f>
        <v>1</v>
      </c>
      <c r="F27" s="16"/>
      <c r="G27" s="5" t="str">
        <f t="shared" si="1"/>
        <v>0/1</v>
      </c>
    </row>
    <row r="28">
      <c r="A28" s="16"/>
      <c r="B28" s="16"/>
      <c r="C28" s="16"/>
      <c r="D28" s="16"/>
      <c r="E28" s="16"/>
      <c r="F28" s="16"/>
      <c r="G28" s="5" t="str">
        <f t="shared" si="1"/>
        <v>/</v>
      </c>
    </row>
    <row r="29">
      <c r="A29" s="16"/>
      <c r="B29" s="16"/>
      <c r="C29" s="16"/>
      <c r="D29" s="16"/>
      <c r="E29" s="16"/>
      <c r="F29" s="16"/>
      <c r="G29" s="35">
        <v>7.0</v>
      </c>
    </row>
    <row r="30">
      <c r="A30" s="16"/>
      <c r="B30" s="16"/>
      <c r="C30" s="16"/>
      <c r="D30" s="3" t="s">
        <v>290</v>
      </c>
      <c r="E30" s="3" t="s">
        <v>4</v>
      </c>
      <c r="F30" s="16"/>
      <c r="G30" s="36"/>
    </row>
    <row r="31">
      <c r="A31" s="37" t="s">
        <v>291</v>
      </c>
      <c r="B31" s="38"/>
      <c r="C31" s="39"/>
      <c r="D31" s="40">
        <f t="shared" ref="D31:E31" si="2">COUNTIF(D2:D27,"&gt;0")</f>
        <v>15</v>
      </c>
      <c r="E31" s="40">
        <f t="shared" si="2"/>
        <v>19</v>
      </c>
      <c r="F31" s="16"/>
      <c r="G31" s="36"/>
    </row>
    <row r="32">
      <c r="A32" s="37" t="s">
        <v>292</v>
      </c>
      <c r="B32" s="38"/>
      <c r="C32" s="39"/>
      <c r="D32" s="40">
        <f t="shared" ref="D32:E32" si="3">SUM(D2:D27)</f>
        <v>24</v>
      </c>
      <c r="E32" s="40">
        <f t="shared" si="3"/>
        <v>34</v>
      </c>
      <c r="F32" s="16"/>
      <c r="G32" s="36"/>
    </row>
    <row r="33">
      <c r="A33" s="36"/>
      <c r="B33" s="36"/>
      <c r="C33" s="36"/>
      <c r="D33" s="36"/>
      <c r="E33" s="36"/>
      <c r="F33" s="36"/>
      <c r="G33" s="36"/>
    </row>
    <row r="34">
      <c r="A34" s="36"/>
      <c r="B34" s="36"/>
      <c r="C34" s="36"/>
      <c r="D34" s="36"/>
      <c r="E34" s="36"/>
      <c r="F34" s="36"/>
      <c r="G34" s="36"/>
    </row>
    <row r="35">
      <c r="A35" s="36"/>
      <c r="B35" s="36"/>
      <c r="C35" s="36"/>
      <c r="D35" s="36"/>
      <c r="E35" s="36"/>
      <c r="F35" s="36"/>
      <c r="G35" s="36">
        <f>24-7</f>
        <v>17</v>
      </c>
    </row>
  </sheetData>
  <autoFilter ref="$B$1:$E$27"/>
  <mergeCells count="2">
    <mergeCell ref="A31:C31"/>
    <mergeCell ref="A32:C32"/>
  </mergeCells>
  <conditionalFormatting sqref="D2:E27">
    <cfRule type="cellIs" dxfId="7" priority="1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12.25"/>
  </cols>
  <sheetData>
    <row r="1" ht="22.5" customHeight="1">
      <c r="A1" s="17" t="s">
        <v>78</v>
      </c>
      <c r="B1" s="17" t="s">
        <v>18</v>
      </c>
    </row>
    <row r="2" ht="22.5" customHeight="1">
      <c r="A2" s="18" t="s">
        <v>110</v>
      </c>
      <c r="B2" s="19">
        <v>45833.0</v>
      </c>
    </row>
    <row r="3" ht="22.5" customHeight="1">
      <c r="A3" s="18" t="s">
        <v>59</v>
      </c>
      <c r="B3" s="19">
        <v>45833.0</v>
      </c>
    </row>
    <row r="4" ht="22.5" customHeight="1">
      <c r="A4" s="18" t="s">
        <v>23</v>
      </c>
      <c r="B4" s="19">
        <v>45833.0</v>
      </c>
    </row>
    <row r="5" ht="22.5" customHeight="1">
      <c r="A5" s="18" t="s">
        <v>86</v>
      </c>
      <c r="B5" s="19">
        <v>45833.0</v>
      </c>
    </row>
    <row r="6" ht="22.5" customHeight="1">
      <c r="A6" s="18" t="s">
        <v>187</v>
      </c>
      <c r="B6" s="19">
        <v>45833.0</v>
      </c>
    </row>
    <row r="7" ht="22.5" customHeight="1">
      <c r="A7" s="18" t="s">
        <v>70</v>
      </c>
      <c r="B7" s="19">
        <v>45833.0</v>
      </c>
    </row>
    <row r="8" ht="22.5" customHeight="1">
      <c r="A8" s="18" t="s">
        <v>201</v>
      </c>
      <c r="B8" s="19">
        <v>45833.0</v>
      </c>
    </row>
    <row r="9" ht="22.5" customHeight="1">
      <c r="A9" s="18" t="s">
        <v>210</v>
      </c>
      <c r="B9" s="19">
        <v>45833.0</v>
      </c>
    </row>
    <row r="10" ht="22.5" customHeight="1">
      <c r="A10" s="18" t="s">
        <v>40</v>
      </c>
      <c r="B10" s="19">
        <v>45833.0</v>
      </c>
    </row>
    <row r="11" ht="22.5" customHeight="1">
      <c r="A11" s="18" t="s">
        <v>52</v>
      </c>
      <c r="B11" s="19">
        <v>45833.0</v>
      </c>
    </row>
    <row r="12" ht="22.5" customHeight="1">
      <c r="A12" s="18" t="s">
        <v>58</v>
      </c>
      <c r="B12" s="19">
        <v>45833.0</v>
      </c>
    </row>
    <row r="13" ht="22.5" customHeight="1">
      <c r="A13" s="18" t="s">
        <v>242</v>
      </c>
      <c r="B13" s="19">
        <v>45833.0</v>
      </c>
    </row>
    <row r="14" ht="22.5" customHeight="1">
      <c r="A14" s="18" t="s">
        <v>243</v>
      </c>
      <c r="B14" s="19">
        <v>45833.0</v>
      </c>
    </row>
    <row r="15" ht="22.5" customHeight="1">
      <c r="A15" s="18" t="s">
        <v>199</v>
      </c>
      <c r="B15" s="19">
        <v>45834.0</v>
      </c>
    </row>
    <row r="16" ht="22.5" customHeight="1">
      <c r="A16" s="18" t="s">
        <v>176</v>
      </c>
      <c r="B16" s="19">
        <v>45834.0</v>
      </c>
    </row>
    <row r="17" ht="22.5" customHeight="1">
      <c r="A17" s="18" t="s">
        <v>224</v>
      </c>
      <c r="B17" s="19">
        <v>45834.0</v>
      </c>
    </row>
    <row r="18" ht="22.5" customHeight="1">
      <c r="A18" s="18" t="s">
        <v>139</v>
      </c>
      <c r="B18" s="19">
        <v>45834.0</v>
      </c>
    </row>
    <row r="19" ht="22.5" customHeight="1">
      <c r="A19" s="18" t="s">
        <v>120</v>
      </c>
      <c r="B19" s="19">
        <v>45834.0</v>
      </c>
    </row>
    <row r="20" ht="22.5" customHeight="1">
      <c r="A20" s="18" t="s">
        <v>263</v>
      </c>
      <c r="B20" s="19">
        <v>45834.0</v>
      </c>
    </row>
    <row r="21" ht="22.5" customHeight="1">
      <c r="A21" s="18" t="s">
        <v>265</v>
      </c>
      <c r="B21" s="19">
        <v>45834.0</v>
      </c>
    </row>
    <row r="22" ht="22.5" customHeight="1">
      <c r="A22" s="18" t="s">
        <v>160</v>
      </c>
      <c r="B22" s="19">
        <v>45834.0</v>
      </c>
    </row>
    <row r="23" ht="22.5" customHeight="1">
      <c r="A23" s="18" t="s">
        <v>218</v>
      </c>
      <c r="B23" s="19">
        <v>45834.0</v>
      </c>
    </row>
    <row r="24" ht="22.5" customHeight="1">
      <c r="A24" s="18" t="s">
        <v>275</v>
      </c>
      <c r="B24" s="19">
        <v>45834.0</v>
      </c>
    </row>
    <row r="25" ht="22.5" customHeight="1">
      <c r="A25" s="18" t="s">
        <v>166</v>
      </c>
      <c r="B25" s="19">
        <v>45834.0</v>
      </c>
    </row>
    <row r="26" ht="22.5" customHeight="1">
      <c r="A26" s="18" t="s">
        <v>126</v>
      </c>
      <c r="B26" s="19">
        <v>45834.0</v>
      </c>
    </row>
    <row r="27" ht="22.5" customHeight="1">
      <c r="A27" s="18" t="s">
        <v>289</v>
      </c>
      <c r="B27" s="19">
        <v>45834.0</v>
      </c>
    </row>
  </sheetData>
  <dataValidations>
    <dataValidation type="custom" allowBlank="1" showDropDown="1" sqref="B2:B27">
      <formula1>OR(NOT(ISERROR(DATEVALUE(B2))), AND(ISNUMBER(B2), LEFT(CELL("format", B2))="D"))</formula1>
    </dataValidation>
  </dataValidations>
  <drawing r:id="rId1"/>
  <tableParts count="1">
    <tablePart r:id="rId3"/>
  </tableParts>
</worksheet>
</file>