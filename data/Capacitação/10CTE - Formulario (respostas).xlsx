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Confirmação" sheetId="2" r:id="rId6"/>
    <sheet state="visible" name="Lista de Cidade" sheetId="3" r:id="rId7"/>
    <sheet state="visible" name="Controle" sheetId="4" r:id="rId8"/>
  </sheets>
  <definedNames>
    <definedName hidden="1" localSheetId="0" name="_xlnm._FilterDatabase">'Respostas ao formulário 1'!$A$1:$M$55</definedName>
  </definedNames>
  <calcPr/>
</workbook>
</file>

<file path=xl/sharedStrings.xml><?xml version="1.0" encoding="utf-8"?>
<sst xmlns="http://schemas.openxmlformats.org/spreadsheetml/2006/main" count="932" uniqueCount="343">
  <si>
    <t>Carimbo de data/hora</t>
  </si>
  <si>
    <t>Endereço de e-mail</t>
  </si>
  <si>
    <t>Nome Completo:</t>
  </si>
  <si>
    <t>CPF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</si>
  <si>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</si>
  <si>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</si>
  <si>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</si>
  <si>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</si>
  <si>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</si>
  <si>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</si>
  <si>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</si>
  <si>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Dia</t>
  </si>
  <si>
    <t>Coluna 1</t>
  </si>
  <si>
    <t>moisesco2009@gmail.com</t>
  </si>
  <si>
    <t>Moises Correia de Oliveira</t>
  </si>
  <si>
    <t>001.805.551-62</t>
  </si>
  <si>
    <t>(66)98452-0550</t>
  </si>
  <si>
    <t>Nova Xavantina (MT)</t>
  </si>
  <si>
    <t>Gestão municipal</t>
  </si>
  <si>
    <t xml:space="preserve">Divisão de Manutenção da Frota </t>
  </si>
  <si>
    <t>marcosrachid93@gmail.com</t>
  </si>
  <si>
    <t>Marcos Luiz de Jesus Silva Rachid</t>
  </si>
  <si>
    <t>002.145.951-70</t>
  </si>
  <si>
    <t>(66)99979-9371</t>
  </si>
  <si>
    <t>São Félix do Araguaia (MT)</t>
  </si>
  <si>
    <t>CACS-FUNDEB</t>
  </si>
  <si>
    <t>Vice presidente</t>
  </si>
  <si>
    <t>Wecton.gomes@gmail.com</t>
  </si>
  <si>
    <t>Wecton Ramos Gomes</t>
  </si>
  <si>
    <t>002.528.391-02</t>
  </si>
  <si>
    <t>(66)99654-9895</t>
  </si>
  <si>
    <t>Querência (MT)</t>
  </si>
  <si>
    <t xml:space="preserve">coordenador de transporte escolar </t>
  </si>
  <si>
    <t>josimeire_quimica2011@hotmail.com</t>
  </si>
  <si>
    <t xml:space="preserve">Josimeire de Souza Ramos Resende </t>
  </si>
  <si>
    <t>004.763.191-02</t>
  </si>
  <si>
    <t>(66)98433-8186</t>
  </si>
  <si>
    <t>Canabrava do Norte (MT)</t>
  </si>
  <si>
    <t xml:space="preserve">Secretária Municipal de Educação </t>
  </si>
  <si>
    <t>rosane.cacs@canarana.edu.mt.gov.br</t>
  </si>
  <si>
    <t xml:space="preserve">Rosane Fries </t>
  </si>
  <si>
    <t>005.341.921-90</t>
  </si>
  <si>
    <t>(66)99611-2019</t>
  </si>
  <si>
    <t>Canarana (MT)</t>
  </si>
  <si>
    <t xml:space="preserve">Secretaria </t>
  </si>
  <si>
    <t>americoandreia48@gmail.com</t>
  </si>
  <si>
    <t>Andreia Arruda Américo</t>
  </si>
  <si>
    <t>009.151.451-70</t>
  </si>
  <si>
    <t>(66)98426-3841</t>
  </si>
  <si>
    <t>Técnica Administrativa do Transporte Escolar</t>
  </si>
  <si>
    <t>elisabeteherrmann@gmail.com</t>
  </si>
  <si>
    <t>Elisabete Rosália Herrmann Brito</t>
  </si>
  <si>
    <t>009.756.161-45</t>
  </si>
  <si>
    <t>(66)98425-1993</t>
  </si>
  <si>
    <t>Vila Rica (MT)</t>
  </si>
  <si>
    <t>Membro</t>
  </si>
  <si>
    <t>999214662abc@gmail.com</t>
  </si>
  <si>
    <t>João Paulo de Sousa</t>
  </si>
  <si>
    <t>011.848.541-57</t>
  </si>
  <si>
    <t>(66)98432-9186</t>
  </si>
  <si>
    <t>Água Boa (MT)</t>
  </si>
  <si>
    <t>Gerente Transporte Escolar</t>
  </si>
  <si>
    <t xml:space="preserve">Fazer um transporte com qualidade mediante a lei </t>
  </si>
  <si>
    <t>prestacaocontas.semec@querencia.mt.gov.br</t>
  </si>
  <si>
    <t xml:space="preserve">Leandra Roberta Brum Stefanello </t>
  </si>
  <si>
    <t>012.833.230-10</t>
  </si>
  <si>
    <t>(66)98410-9727</t>
  </si>
  <si>
    <t>Presidente CACS - FUNDEB</t>
  </si>
  <si>
    <t>andrea_hora21@hotmail.com</t>
  </si>
  <si>
    <t>Andrea Paciente Hora</t>
  </si>
  <si>
    <t>013.540.821-09</t>
  </si>
  <si>
    <t>(66)98425-6888</t>
  </si>
  <si>
    <t>lidiane.silva@vilarica.edu.mt.gov.br</t>
  </si>
  <si>
    <t>Lidiane Heimerdinger Silva</t>
  </si>
  <si>
    <t>021.210.741-04</t>
  </si>
  <si>
    <t>(66)98423-5177</t>
  </si>
  <si>
    <t>Técnica</t>
  </si>
  <si>
    <t>gleidiane.cruz@luciara.edu.mt.gov.br</t>
  </si>
  <si>
    <t>Gleidiane Ferreira da Cruz</t>
  </si>
  <si>
    <t>021.594.611-13</t>
  </si>
  <si>
    <t>(66)98427-5175</t>
  </si>
  <si>
    <t>Luciara (MT)</t>
  </si>
  <si>
    <t>Presidente do conselho do TRANSPORTE ESCOLAR</t>
  </si>
  <si>
    <t>gerayneaquinocorrea@gmail.com</t>
  </si>
  <si>
    <t>Gerayne Aquino Corrêa</t>
  </si>
  <si>
    <t>024.883.761-32</t>
  </si>
  <si>
    <t>(66)98422-7979</t>
  </si>
  <si>
    <t>Araguaiana (MT)</t>
  </si>
  <si>
    <t>secretaria de educação</t>
  </si>
  <si>
    <t>daianagym20@hotmail.com</t>
  </si>
  <si>
    <t>DAIANA AMORIM CUNHA</t>
  </si>
  <si>
    <t>031.632.791-39</t>
  </si>
  <si>
    <t>(66)98439-1428</t>
  </si>
  <si>
    <t>Serra Nova Dourada (MT)</t>
  </si>
  <si>
    <t>TECNICA MUNICIPAL DA SME</t>
  </si>
  <si>
    <t>thaisensj@hotmail.com</t>
  </si>
  <si>
    <t>THAISE GEOVANNA PEREIRA SOBRINHO</t>
  </si>
  <si>
    <t>038.182.931-63</t>
  </si>
  <si>
    <t>(66)97400-5419</t>
  </si>
  <si>
    <t>Novo São Joaquim (MT)</t>
  </si>
  <si>
    <t xml:space="preserve">RESPONSAVEL PRESTAÇÃO DE CONTAS </t>
  </si>
  <si>
    <t>kellenkleinrossato@gmail.com</t>
  </si>
  <si>
    <t>,</t>
  </si>
  <si>
    <t>038.713.381-09</t>
  </si>
  <si>
    <t>(66)99714-0657</t>
  </si>
  <si>
    <t>VICE PRESIDENTE</t>
  </si>
  <si>
    <t>lorennasouza09.ls@gmail.com</t>
  </si>
  <si>
    <t>Lorena Pereira de Souza</t>
  </si>
  <si>
    <t>042.254.611-90</t>
  </si>
  <si>
    <t>(66)99241-6958</t>
  </si>
  <si>
    <t>Barra do Garças (MT)</t>
  </si>
  <si>
    <t>setor de prestação de contas</t>
  </si>
  <si>
    <t>murilovassis@hotmail.com</t>
  </si>
  <si>
    <t>Murilo Vieira Assis</t>
  </si>
  <si>
    <t>043.855.311-02</t>
  </si>
  <si>
    <t>(66)99664-4772</t>
  </si>
  <si>
    <t>Baliza (GO)</t>
  </si>
  <si>
    <t>Assiste Administrativo - Prestação de conta</t>
  </si>
  <si>
    <t>joaocarlos.ac621@gmail.com</t>
  </si>
  <si>
    <t>João Carlos Araujo Rodrigues</t>
  </si>
  <si>
    <t>048.318.311-31</t>
  </si>
  <si>
    <t>(66)99698-6788</t>
  </si>
  <si>
    <t>Confresa (MT)</t>
  </si>
  <si>
    <t>Coordenador</t>
  </si>
  <si>
    <t>jaklynny2009@hotmail.com</t>
  </si>
  <si>
    <t xml:space="preserve">Ketlen Jaklynny Alves dos Santos </t>
  </si>
  <si>
    <t>053.782.371-90</t>
  </si>
  <si>
    <t>(66)99964-3865</t>
  </si>
  <si>
    <t xml:space="preserve">Gerente de projetos e convênios da educação </t>
  </si>
  <si>
    <t>caiquematheussnd1@gmail.com</t>
  </si>
  <si>
    <t>CAIQUE MATHEUS DA SILVA</t>
  </si>
  <si>
    <t>055.960.981-75</t>
  </si>
  <si>
    <t>(66)98446-6322</t>
  </si>
  <si>
    <t>kamilifitdance@gmail.com</t>
  </si>
  <si>
    <t>kamili alexandre</t>
  </si>
  <si>
    <t>060.440.811-09</t>
  </si>
  <si>
    <t>(66)99204-7193</t>
  </si>
  <si>
    <t>técnico administrativo</t>
  </si>
  <si>
    <t>osmarilda.teixeira@vilarica.edu.mt.gov.br</t>
  </si>
  <si>
    <t xml:space="preserve">Osmarilda Souza Teixeira </t>
  </si>
  <si>
    <t>244.225.922-20</t>
  </si>
  <si>
    <t>(66)98448-5767</t>
  </si>
  <si>
    <t>vanianevessilva@hotmail.com</t>
  </si>
  <si>
    <t xml:space="preserve">Vânia Aparecida Neves Nogueira </t>
  </si>
  <si>
    <t>357.876.668-28</t>
  </si>
  <si>
    <t>(66)99931-2629</t>
  </si>
  <si>
    <t>Tecnica prestação de contas transporte escolar</t>
  </si>
  <si>
    <t>lidiaarraes01@hotmail.com</t>
  </si>
  <si>
    <t xml:space="preserve">Lídia Arraes de Oliveira </t>
  </si>
  <si>
    <t>395.707.701-04</t>
  </si>
  <si>
    <t>(66)98422-5865</t>
  </si>
  <si>
    <t>profanilza99@gmail.com</t>
  </si>
  <si>
    <t>Nilza Darc Rosa</t>
  </si>
  <si>
    <t>435.840.551-72</t>
  </si>
  <si>
    <t>(66)98129-2310</t>
  </si>
  <si>
    <t xml:space="preserve">Presidente </t>
  </si>
  <si>
    <t>elenirafonso@portoalegredonorte.gov.br</t>
  </si>
  <si>
    <t>Elenir Afonso da Silva</t>
  </si>
  <si>
    <t>468.615.561-49</t>
  </si>
  <si>
    <t>(66)98429-0137</t>
  </si>
  <si>
    <t>Porto Alegre do Norte (MT)</t>
  </si>
  <si>
    <t>dirigente municipal</t>
  </si>
  <si>
    <t>delcimarvieira2@hotmail.com</t>
  </si>
  <si>
    <t>Delcimar Vieira Lima</t>
  </si>
  <si>
    <t>474.491.361-04</t>
  </si>
  <si>
    <t>(66)98452-9107</t>
  </si>
  <si>
    <t>Responsavel pelo programa Geoter</t>
  </si>
  <si>
    <t>nilusawi@hotmail.com</t>
  </si>
  <si>
    <t>Nilson Barbosa da Silva</t>
  </si>
  <si>
    <t>487.041.561-53</t>
  </si>
  <si>
    <t>(66)99231-1210</t>
  </si>
  <si>
    <t>Santo Antônio do Leste (MT)</t>
  </si>
  <si>
    <t>Secretário Municipal de Educação</t>
  </si>
  <si>
    <t>divinomaia13@hotmail.com</t>
  </si>
  <si>
    <t>Divino Francisco Martins Maia</t>
  </si>
  <si>
    <t>514.293.571-34</t>
  </si>
  <si>
    <t>(66)99603-3961</t>
  </si>
  <si>
    <t>Técnico da Assessoria pedagógica -  membro do CACS Fundeb.</t>
  </si>
  <si>
    <t>lisianebionxx@gmail.com</t>
  </si>
  <si>
    <t>Lisiane Berghahn</t>
  </si>
  <si>
    <t>550.245.801-68</t>
  </si>
  <si>
    <t>(66)99998-9701</t>
  </si>
  <si>
    <t>Gerente de Transporte</t>
  </si>
  <si>
    <t>coelhocassiogc@gmail.com</t>
  </si>
  <si>
    <t xml:space="preserve">Cássio Gomes Coelho </t>
  </si>
  <si>
    <t>550.868.881-15</t>
  </si>
  <si>
    <t>(66)99980-2994</t>
  </si>
  <si>
    <t>Diretor de transporte escolar</t>
  </si>
  <si>
    <t>alexcristian2312@gmail.com</t>
  </si>
  <si>
    <t xml:space="preserve">Cristian Alex Lopes de Souza </t>
  </si>
  <si>
    <t>555.206.261-20</t>
  </si>
  <si>
    <t>(66)99975-7560</t>
  </si>
  <si>
    <t>Conselheiro</t>
  </si>
  <si>
    <t>jamil.sales@luciara.mt.edu.gov.br</t>
  </si>
  <si>
    <t>Jamil Taverny Sales</t>
  </si>
  <si>
    <t>569.035.881-91</t>
  </si>
  <si>
    <t>(66)98458-0193</t>
  </si>
  <si>
    <t>O atendimento de todo o corpo dicente do bosso municipio através do transporte escolar.</t>
  </si>
  <si>
    <t>lanusseblz@hotmail.com</t>
  </si>
  <si>
    <t>Alexandre Lanusse Pereira Dias</t>
  </si>
  <si>
    <t>617.215.221-15</t>
  </si>
  <si>
    <t>(66)99988-9196</t>
  </si>
  <si>
    <t>Tecnico Operador: SETE Transporte escolar</t>
  </si>
  <si>
    <t>mcgfabio@gmail.com</t>
  </si>
  <si>
    <t>Fábio Pinto de Oliveira</t>
  </si>
  <si>
    <t>643.714.921-34</t>
  </si>
  <si>
    <t>(62)99987-2626</t>
  </si>
  <si>
    <t>Montes Claros de Goiás (GO)</t>
  </si>
  <si>
    <t>vice presidente</t>
  </si>
  <si>
    <t>ronnysantos4@hotmail.com</t>
  </si>
  <si>
    <t xml:space="preserve">Ronivaldo Assis Santos </t>
  </si>
  <si>
    <t>713.542.636-34</t>
  </si>
  <si>
    <t>(62)99804-9680</t>
  </si>
  <si>
    <t xml:space="preserve">Coordenador do Transporte Escolar </t>
  </si>
  <si>
    <t xml:space="preserve">Não tenho </t>
  </si>
  <si>
    <t>clayton.oliva@edu.mt.gov.br</t>
  </si>
  <si>
    <t>Clayton Gonçalves Oliva</t>
  </si>
  <si>
    <t>719.914.681-72</t>
  </si>
  <si>
    <t>(66)98447-3124</t>
  </si>
  <si>
    <t>Novo Santo Antônio (MT)</t>
  </si>
  <si>
    <t>Coordenador de Transporte Escolar</t>
  </si>
  <si>
    <t>Katereginaps2@hotmail.com</t>
  </si>
  <si>
    <t xml:space="preserve">Kate Regina Paulo da Silva </t>
  </si>
  <si>
    <t>762.162.171-00</t>
  </si>
  <si>
    <t>(66)98437-1064</t>
  </si>
  <si>
    <t>Bom Jesus do Araguaia (MT)</t>
  </si>
  <si>
    <t xml:space="preserve">Técnico Administrativo </t>
  </si>
  <si>
    <t>simonerego_cbn@hotmail.com</t>
  </si>
  <si>
    <t xml:space="preserve">Simone da Silva Rêgo de Sousa </t>
  </si>
  <si>
    <t>767.007.393-49</t>
  </si>
  <si>
    <t>(66)98126-3476</t>
  </si>
  <si>
    <t>Suplente</t>
  </si>
  <si>
    <t>eliane.edu.tae@bomjesusdoaraguaia.mt.gov.br</t>
  </si>
  <si>
    <t>ELIANE ROMUALDO GONTIJO LEITE</t>
  </si>
  <si>
    <t>817.939.601-00</t>
  </si>
  <si>
    <t>(66)98458-8018</t>
  </si>
  <si>
    <t>Técnico Administrativo Educacional</t>
  </si>
  <si>
    <t>ggaragemeducacao@gmail.com</t>
  </si>
  <si>
    <t>Adriane hilario santos</t>
  </si>
  <si>
    <t>822.671.541-53</t>
  </si>
  <si>
    <t>(66)98152-0154</t>
  </si>
  <si>
    <t>Secretaria</t>
  </si>
  <si>
    <t>Sim</t>
  </si>
  <si>
    <t>santosmachado3@hotmail.com</t>
  </si>
  <si>
    <t>Mauro Machado dos Santos</t>
  </si>
  <si>
    <t>884.725.401-97</t>
  </si>
  <si>
    <t>(66)99977-1054</t>
  </si>
  <si>
    <t>Ribeirão Cascalheira (MT)</t>
  </si>
  <si>
    <t>valfliene@gmail.com</t>
  </si>
  <si>
    <t>Valfliene Aparecida de Melo Bética</t>
  </si>
  <si>
    <t>889.447.351-15</t>
  </si>
  <si>
    <t>(66)99984-4248</t>
  </si>
  <si>
    <t>Técnica Administrativa Escolar</t>
  </si>
  <si>
    <t>aguiarrosirene8@gmail.com</t>
  </si>
  <si>
    <t>Rosirene Alves Martins Aguiar</t>
  </si>
  <si>
    <t>921.708.031-49</t>
  </si>
  <si>
    <t>(66)98147-1011</t>
  </si>
  <si>
    <t>Responsavel pelo sistema do transporte escolar</t>
  </si>
  <si>
    <t>francileifonseca@gmail.com</t>
  </si>
  <si>
    <t xml:space="preserve">Francilei Marinho Fonseca </t>
  </si>
  <si>
    <t>933.170.691-04</t>
  </si>
  <si>
    <t>7/18/1880</t>
  </si>
  <si>
    <t>(66)98458-6450</t>
  </si>
  <si>
    <t xml:space="preserve">Diretor de transporte  escolar </t>
  </si>
  <si>
    <t>admin.transporte@canarana.edu.mt.gov.br</t>
  </si>
  <si>
    <t>Gabriel Kasprczak da Silva</t>
  </si>
  <si>
    <t>935.418.991-15</t>
  </si>
  <si>
    <t>(66)99982-2518</t>
  </si>
  <si>
    <t>Coordenador Transporte Escolar</t>
  </si>
  <si>
    <t>celsonsousadasilva@hotmail.com</t>
  </si>
  <si>
    <t>Celson Sousa da Silva</t>
  </si>
  <si>
    <t>951.230.831-20</t>
  </si>
  <si>
    <t>(66)98445-7805</t>
  </si>
  <si>
    <t>cintiaraimundo70@gmail.com</t>
  </si>
  <si>
    <t>Cintia de Almeida Oliveira Raimundo</t>
  </si>
  <si>
    <t>956.523.701-06</t>
  </si>
  <si>
    <t>(66)99978-8010</t>
  </si>
  <si>
    <t>Gestor Educacional (Técnico do Transporte Escolar)</t>
  </si>
  <si>
    <t>nelmiquixabeira@hotmail.com</t>
  </si>
  <si>
    <t>Nelmi Rodrigues Quixabeira</t>
  </si>
  <si>
    <t>966.966.051-34</t>
  </si>
  <si>
    <t>(66)98449-1635</t>
  </si>
  <si>
    <t>Secretária Municipal de Educação</t>
  </si>
  <si>
    <t>rejanebgd@hotmail.com</t>
  </si>
  <si>
    <t xml:space="preserve">Rejane Evangelista Galvão </t>
  </si>
  <si>
    <t>978.403.941-91</t>
  </si>
  <si>
    <t>(66)99221-1130</t>
  </si>
  <si>
    <t>Pontal do Araguaia (MT)</t>
  </si>
  <si>
    <t>Representante dos Técnicos Administrativos das Escolas Publicas</t>
  </si>
  <si>
    <t>elainecintia2015@gmail.com</t>
  </si>
  <si>
    <t xml:space="preserve">Elaine Cintia de Souza </t>
  </si>
  <si>
    <t>982.434.111-00</t>
  </si>
  <si>
    <t>(66)99204-2256</t>
  </si>
  <si>
    <t xml:space="preserve">Assessora Pedagógica </t>
  </si>
  <si>
    <t>marialeandro@portoalegredonorte.mt.gov.br</t>
  </si>
  <si>
    <t>MARIA JOSE LEANDRO DE ALMEIDA OLIVEIRA</t>
  </si>
  <si>
    <t>987.429.811-15</t>
  </si>
  <si>
    <t>(66)98418-4363</t>
  </si>
  <si>
    <t>Representante de Servidor técnico administrativo</t>
  </si>
  <si>
    <t>thiagonsj@gmail.com</t>
  </si>
  <si>
    <t xml:space="preserve">THIAGO DE MACEDO FIGUEIRA </t>
  </si>
  <si>
    <t>999.089.301-25</t>
  </si>
  <si>
    <t>(66)98140-9218</t>
  </si>
  <si>
    <t>SECRETARIO MUNICIPAL DE EDUCAÇÃO E CULTURA</t>
  </si>
  <si>
    <t>Telefone (XX)XXXXX-XXXX</t>
  </si>
  <si>
    <t>Gestor Educacional (técnica do Transporte Escolar)</t>
  </si>
  <si>
    <t>Vice Presidente</t>
  </si>
  <si>
    <t>Cidade</t>
  </si>
  <si>
    <t>Data</t>
  </si>
  <si>
    <t>Aragarças (GO)</t>
  </si>
  <si>
    <t>Bom Jardim de Goiás (GO)</t>
  </si>
  <si>
    <t>Cocalinho (MT)</t>
  </si>
  <si>
    <t>Gaúcha do Norte (MT)</t>
  </si>
  <si>
    <t>Alto Boa Vista (MT)</t>
  </si>
  <si>
    <t>Campinápolis (MT)</t>
  </si>
  <si>
    <t>General Carneiro (MT)</t>
  </si>
  <si>
    <t>Nova Nazaré (MT)</t>
  </si>
  <si>
    <t>Santa Terezinha (MT)</t>
  </si>
  <si>
    <t>ID</t>
  </si>
  <si>
    <t>NOME</t>
  </si>
  <si>
    <t>DIST(km)</t>
  </si>
  <si>
    <t>Responsável</t>
  </si>
  <si>
    <t>Situação</t>
  </si>
  <si>
    <t>Ângela</t>
  </si>
  <si>
    <t>inscrição feita</t>
  </si>
  <si>
    <t xml:space="preserve">Contato realizado via WhatsApp </t>
  </si>
  <si>
    <t>Ligação feita em vários números, mas sem sucesso (atendimento)</t>
  </si>
  <si>
    <t>E-mail geraynearquino@araguaiana.mt.gov.br</t>
  </si>
  <si>
    <t>smeel@barradogarcas.mt.gov.br</t>
  </si>
  <si>
    <t>cacs.fundeb@bomjardim.go.gov.br</t>
  </si>
  <si>
    <t>cacscamp@hotmail.com</t>
  </si>
  <si>
    <t>Ana Paula</t>
  </si>
  <si>
    <t>Kariny</t>
  </si>
  <si>
    <t>Contato realizado via Whatzapp aguardando retorno.</t>
  </si>
  <si>
    <t>Contato via WhatsApp, Aguardando autorização do Prefeito para concessão de diárias, necessária ao deslocamento da gestão do município a capacitação.</t>
  </si>
  <si>
    <t>Sem contato, tentativas via telefone, Whatzapp e Instagram.</t>
  </si>
  <si>
    <t>Sem contato, tentativas via telefone e Instagram.</t>
  </si>
  <si>
    <t>Contato realizado via Whatzapp aguardando retorno</t>
  </si>
  <si>
    <t>Contato realizado via Whatzapp  inscrição realizada.</t>
  </si>
  <si>
    <t>Contato realizado via Whatzapp, inscrições dos gestores foram realizadas.</t>
  </si>
  <si>
    <t>CACS</t>
  </si>
  <si>
    <t>Municípios com representante inscrito</t>
  </si>
  <si>
    <t>Pessoas Inscritas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</si>
</sst>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rgb="FF333333"/>
      <name val="Rawline"/>
    </font>
    <font/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2" fontId="3" numFmtId="0" xfId="0" applyAlignment="1" applyFill="1" applyFont="1">
      <alignment horizontal="center" readingOrder="0" vertical="bottom"/>
    </xf>
    <xf borderId="0" fillId="2" fontId="4" numFmtId="0" xfId="0" applyAlignment="1" applyFill="1" applyFont="1">
      <alignment vertical="bottom"/>
    </xf>
    <xf borderId="0" fillId="2" fontId="4" numFmtId="0" xfId="0" applyAlignment="1" applyFill="1" applyFont="1">
      <alignment horizontal="center" vertical="bottom"/>
    </xf>
    <xf borderId="0" fillId="3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1" fillId="4" fontId="5" numFmtId="0" xfId="0" applyAlignment="1" applyBorder="1" applyFill="1" applyFont="1">
      <alignment horizontal="right" vertical="bottom"/>
    </xf>
    <xf borderId="1" fillId="5" fontId="5" numFmtId="0" xfId="0" applyAlignment="1" applyBorder="1" applyFill="1" applyFont="1">
      <alignment horizontal="center" readingOrder="0" vertical="bottom"/>
    </xf>
    <xf borderId="1" fillId="4" fontId="5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1" fillId="4" fontId="5" numFmtId="0" xfId="0" applyAlignment="1" applyBorder="1" applyFill="1" applyFont="1">
      <alignment horizontal="center" readingOrder="0" vertical="bottom"/>
    </xf>
    <xf borderId="0" fillId="4" fontId="7" numFmtId="0" xfId="0" applyAlignment="1" applyFill="1" applyFont="1">
      <alignment horizontal="left" readingOrder="0"/>
    </xf>
    <xf borderId="1" fillId="4" fontId="5" numFmtId="0" xfId="0" applyAlignment="1" applyBorder="1" applyFill="1" applyFont="1">
      <alignment horizontal="center" vertical="bottom"/>
    </xf>
    <xf borderId="0" fillId="4" fontId="5" numFmtId="0" xfId="0" applyAlignment="1" applyFill="1" applyFont="1">
      <alignment vertical="bottom"/>
    </xf>
    <xf borderId="0" fillId="4" fontId="5" numFmtId="0" xfId="0" applyAlignment="1" applyFill="1" applyFont="1">
      <alignment horizontal="center" vertical="bottom"/>
    </xf>
    <xf borderId="0" fillId="4" fontId="1" numFmtId="0" xfId="0" applyAlignment="1" applyFill="1" applyFont="1">
      <alignment readingOrder="0"/>
    </xf>
    <xf borderId="0" fillId="4" fontId="1" numFmtId="0" xfId="0" applyFill="1" applyFont="1"/>
    <xf borderId="1" fillId="6" fontId="5" numFmtId="0" xfId="0" applyAlignment="1" applyBorder="1" applyFill="1" applyFont="1">
      <alignment horizontal="right" vertical="bottom"/>
    </xf>
    <xf borderId="1" fillId="6" fontId="5" numFmtId="0" xfId="0" applyAlignment="1" applyBorder="1" applyFill="1" applyFont="1">
      <alignment horizontal="center" readingOrder="0" vertical="bottom"/>
    </xf>
    <xf borderId="1" fillId="6" fontId="5" numFmtId="0" xfId="0" applyAlignment="1" applyBorder="1" applyFill="1" applyFont="1">
      <alignment vertical="bottom"/>
    </xf>
    <xf borderId="1" fillId="6" fontId="6" numFmtId="0" xfId="0" applyAlignment="1" applyBorder="1" applyFill="1" applyFont="1">
      <alignment horizontal="center" vertical="bottom"/>
    </xf>
    <xf borderId="0" fillId="6" fontId="5" numFmtId="0" xfId="0" applyAlignment="1" applyFill="1" applyFont="1">
      <alignment vertical="bottom"/>
    </xf>
    <xf borderId="0" fillId="6" fontId="5" numFmtId="0" xfId="0" applyAlignment="1" applyFill="1" applyFont="1">
      <alignment horizontal="center" vertical="bottom"/>
    </xf>
    <xf borderId="0" fillId="6" fontId="1" numFmtId="0" xfId="0" applyAlignment="1" applyFill="1" applyFont="1">
      <alignment readingOrder="0"/>
    </xf>
    <xf borderId="0" fillId="6" fontId="1" numFmtId="0" xfId="0" applyFill="1" applyFont="1"/>
    <xf borderId="0" fillId="2" fontId="3" numFmtId="0" xfId="0" applyAlignment="1" applyFill="1" applyFont="1">
      <alignment horizontal="center" vertical="bottom"/>
    </xf>
    <xf borderId="2" fillId="4" fontId="6" numFmtId="0" xfId="0" applyAlignment="1" applyBorder="1" applyFill="1" applyFont="1">
      <alignment horizontal="right" vertical="bottom"/>
    </xf>
    <xf borderId="3" fillId="0" fontId="8" numFmtId="0" xfId="0" applyBorder="1" applyFont="1"/>
    <xf borderId="4" fillId="0" fontId="8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none"/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5" displayName="Form_Responses" name="Form_Responses" id="1">
  <autoFilter ref="$A$1:$M$55"/>
  <tableColumns count="13">
    <tableColumn name="Carimbo de data/hora" id="1"/>
    <tableColumn name="Endereço de e-mail" id="2"/>
    <tableColumn name="Nome Completo:" id="3"/>
    <tableColumn name="CPF" id="4"/>
    <tableColumn name="Data de Nascimento" id="5"/>
    <tableColumn name="Telefone (XX)XXXXX-XXXX" id="6"/>
    <tableColumn name="Município que representa:" id="7"/>
    <tableColumn name="Você faz parte do:" id="8"/>
    <tableColumn name="Que cargo você ocupa na gestão municipal?" id="9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0"/>
    <tableColumn name="Que cargo você ocupa no CACS-FUNDEB?" id="11"/>
    <tableColumn name="Dia" id="12"/>
    <tableColumn name="Coluna 1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4" width="18.88"/>
    <col customWidth="1" min="5" max="5" width="20.13"/>
    <col customWidth="1" min="6" max="6" width="24.88"/>
    <col customWidth="1" min="7" max="7" width="24.13"/>
    <col customWidth="1" min="8" max="8" width="18.88"/>
    <col customWidth="1" min="9" max="9" width="37.25"/>
    <col customWidth="1" min="10" max="10" width="37.63"/>
    <col customWidth="1" min="11" max="11" width="51.38"/>
    <col customWidth="1" min="12" max="17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4" t="s">
        <v>11</v>
      </c>
      <c r="M1" s="4" t="s">
        <v>12</v>
      </c>
    </row>
    <row r="2" ht="22.5" customHeight="1">
      <c r="A2" s="5">
        <v>45910.600446655095</v>
      </c>
      <c r="B2" s="6" t="s">
        <v>13</v>
      </c>
      <c r="C2" s="6" t="s">
        <v>14</v>
      </c>
      <c r="D2" s="6" t="s">
        <v>15</v>
      </c>
      <c r="E2" s="7">
        <v>30577.0</v>
      </c>
      <c r="F2" s="6" t="s">
        <v>16</v>
      </c>
      <c r="G2" s="6" t="s">
        <v>17</v>
      </c>
      <c r="H2" s="6" t="s">
        <v>18</v>
      </c>
      <c r="I2" s="6" t="s">
        <v>19</v>
      </c>
      <c r="L2" s="8">
        <f>VLOOKUP(G2,'Lista de Cidade'!$A$1:$B$31,2,FALSE)</f>
        <v>45925</v>
      </c>
      <c r="M2" s="9">
        <f t="shared" ref="M2:M55" si="1">IF(D2=D3,1,0)</f>
        <v>0</v>
      </c>
    </row>
    <row r="3" ht="22.5" customHeight="1">
      <c r="A3" s="5">
        <v>45908.474307743054</v>
      </c>
      <c r="B3" s="6" t="s">
        <v>20</v>
      </c>
      <c r="C3" s="6" t="s">
        <v>21</v>
      </c>
      <c r="D3" s="6" t="s">
        <v>22</v>
      </c>
      <c r="E3" s="7">
        <v>31275.0</v>
      </c>
      <c r="F3" s="6" t="s">
        <v>23</v>
      </c>
      <c r="G3" s="6" t="s">
        <v>24</v>
      </c>
      <c r="H3" s="6" t="s">
        <v>25</v>
      </c>
      <c r="K3" s="6" t="s">
        <v>26</v>
      </c>
      <c r="L3" s="8">
        <f>VLOOKUP(G3,'Lista de Cidade'!$A$1:$B$31,2,FALSE)</f>
        <v>45925</v>
      </c>
      <c r="M3" s="9">
        <f t="shared" si="1"/>
        <v>0</v>
      </c>
    </row>
    <row r="4" ht="22.5" customHeight="1">
      <c r="A4" s="5">
        <v>45916.68154635417</v>
      </c>
      <c r="B4" s="6" t="s">
        <v>27</v>
      </c>
      <c r="C4" s="6" t="s">
        <v>28</v>
      </c>
      <c r="D4" s="6" t="s">
        <v>29</v>
      </c>
      <c r="E4" s="7">
        <v>30535.0</v>
      </c>
      <c r="F4" s="6" t="s">
        <v>30</v>
      </c>
      <c r="G4" s="6" t="s">
        <v>31</v>
      </c>
      <c r="H4" s="6" t="s">
        <v>18</v>
      </c>
      <c r="I4" s="6" t="s">
        <v>32</v>
      </c>
      <c r="L4" s="8">
        <f>VLOOKUP(G4,'Lista de Cidade'!$A$1:$B$31,2,FALSE)</f>
        <v>45924</v>
      </c>
      <c r="M4" s="9">
        <f t="shared" si="1"/>
        <v>0</v>
      </c>
    </row>
    <row r="5" ht="22.5" customHeight="1">
      <c r="A5" s="5">
        <v>45925.35805260416</v>
      </c>
      <c r="B5" s="6" t="s">
        <v>33</v>
      </c>
      <c r="C5" s="6" t="s">
        <v>34</v>
      </c>
      <c r="D5" s="6" t="s">
        <v>35</v>
      </c>
      <c r="E5" s="7">
        <v>30616.0</v>
      </c>
      <c r="F5" s="6" t="s">
        <v>36</v>
      </c>
      <c r="G5" s="6" t="s">
        <v>37</v>
      </c>
      <c r="H5" s="6" t="s">
        <v>18</v>
      </c>
      <c r="I5" s="6" t="s">
        <v>38</v>
      </c>
      <c r="L5" s="10">
        <f>VLOOKUP(G5,'Lista de Cidade'!$A$1:$B$31,2,FALSE)</f>
        <v>45925</v>
      </c>
      <c r="M5" s="9">
        <f t="shared" si="1"/>
        <v>0</v>
      </c>
    </row>
    <row r="6" ht="22.5" customHeight="1">
      <c r="A6" s="5">
        <v>45908.65367480324</v>
      </c>
      <c r="B6" s="6" t="s">
        <v>39</v>
      </c>
      <c r="C6" s="6" t="s">
        <v>40</v>
      </c>
      <c r="D6" s="6" t="s">
        <v>41</v>
      </c>
      <c r="E6" s="7">
        <v>29948.0</v>
      </c>
      <c r="F6" s="6" t="s">
        <v>42</v>
      </c>
      <c r="G6" s="6" t="s">
        <v>43</v>
      </c>
      <c r="H6" s="6" t="s">
        <v>25</v>
      </c>
      <c r="K6" s="6" t="s">
        <v>44</v>
      </c>
      <c r="L6" s="8">
        <f>VLOOKUP(G6,'Lista de Cidade'!$A$1:$B$31,2,FALSE)</f>
        <v>45924</v>
      </c>
      <c r="M6" s="9">
        <f t="shared" si="1"/>
        <v>0</v>
      </c>
    </row>
    <row r="7" ht="22.5" customHeight="1">
      <c r="A7" s="5">
        <v>45908.47870146991</v>
      </c>
      <c r="B7" s="6" t="s">
        <v>45</v>
      </c>
      <c r="C7" s="6" t="s">
        <v>46</v>
      </c>
      <c r="D7" s="6" t="s">
        <v>47</v>
      </c>
      <c r="E7" s="7">
        <v>30150.0</v>
      </c>
      <c r="F7" s="6" t="s">
        <v>48</v>
      </c>
      <c r="G7" s="6" t="s">
        <v>24</v>
      </c>
      <c r="H7" s="6" t="s">
        <v>18</v>
      </c>
      <c r="I7" s="6" t="s">
        <v>49</v>
      </c>
      <c r="L7" s="8">
        <f>VLOOKUP(G7,'Lista de Cidade'!$A$1:$B$31,2,FALSE)</f>
        <v>45925</v>
      </c>
      <c r="M7" s="9">
        <f t="shared" si="1"/>
        <v>0</v>
      </c>
    </row>
    <row r="8" ht="22.5" customHeight="1">
      <c r="A8" s="5">
        <v>45910.575863136575</v>
      </c>
      <c r="B8" s="6" t="s">
        <v>50</v>
      </c>
      <c r="C8" s="6" t="s">
        <v>51</v>
      </c>
      <c r="D8" s="6" t="s">
        <v>52</v>
      </c>
      <c r="E8" s="7">
        <v>31291.0</v>
      </c>
      <c r="F8" s="6" t="s">
        <v>53</v>
      </c>
      <c r="G8" s="6" t="s">
        <v>54</v>
      </c>
      <c r="H8" s="6" t="s">
        <v>25</v>
      </c>
      <c r="K8" s="6" t="s">
        <v>55</v>
      </c>
      <c r="L8" s="8">
        <f>VLOOKUP(G8,'Lista de Cidade'!$A$1:$B$31,2,FALSE)</f>
        <v>45925</v>
      </c>
      <c r="M8" s="9">
        <f t="shared" si="1"/>
        <v>0</v>
      </c>
    </row>
    <row r="9" ht="22.5" customHeight="1">
      <c r="A9" s="5">
        <v>45912.518075995366</v>
      </c>
      <c r="B9" s="6" t="s">
        <v>56</v>
      </c>
      <c r="C9" s="6" t="s">
        <v>57</v>
      </c>
      <c r="D9" s="6" t="s">
        <v>58</v>
      </c>
      <c r="E9" s="7">
        <v>29917.0</v>
      </c>
      <c r="F9" s="6" t="s">
        <v>59</v>
      </c>
      <c r="G9" s="6" t="s">
        <v>60</v>
      </c>
      <c r="H9" s="6" t="s">
        <v>18</v>
      </c>
      <c r="I9" s="6" t="s">
        <v>61</v>
      </c>
      <c r="J9" s="6" t="s">
        <v>62</v>
      </c>
      <c r="L9" s="8">
        <f>VLOOKUP(G9,'Lista de Cidade'!$A$1:$B$31,2,FALSE)</f>
        <v>45924</v>
      </c>
      <c r="M9" s="9">
        <f t="shared" si="1"/>
        <v>0</v>
      </c>
    </row>
    <row r="10" ht="22.5" customHeight="1">
      <c r="A10" s="5">
        <v>45916.68595449074</v>
      </c>
      <c r="B10" s="6" t="s">
        <v>63</v>
      </c>
      <c r="C10" s="6" t="s">
        <v>64</v>
      </c>
      <c r="D10" s="6" t="s">
        <v>65</v>
      </c>
      <c r="E10" s="7">
        <v>31013.0</v>
      </c>
      <c r="F10" s="6" t="s">
        <v>66</v>
      </c>
      <c r="G10" s="6" t="s">
        <v>31</v>
      </c>
      <c r="H10" s="6" t="s">
        <v>25</v>
      </c>
      <c r="K10" s="6" t="s">
        <v>67</v>
      </c>
      <c r="L10" s="8">
        <f>VLOOKUP(G10,'Lista de Cidade'!$A$1:$B$31,2,FALSE)</f>
        <v>45924</v>
      </c>
      <c r="M10" s="9">
        <f t="shared" si="1"/>
        <v>0</v>
      </c>
    </row>
    <row r="11" ht="22.5" customHeight="1">
      <c r="A11" s="5">
        <v>45922.38950049768</v>
      </c>
      <c r="B11" s="6" t="s">
        <v>68</v>
      </c>
      <c r="C11" s="6" t="s">
        <v>69</v>
      </c>
      <c r="D11" s="6" t="s">
        <v>70</v>
      </c>
      <c r="E11" s="7">
        <v>31739.0</v>
      </c>
      <c r="F11" s="6" t="s">
        <v>71</v>
      </c>
      <c r="G11" s="6" t="s">
        <v>54</v>
      </c>
      <c r="H11" s="6" t="s">
        <v>25</v>
      </c>
      <c r="K11" s="6" t="s">
        <v>55</v>
      </c>
      <c r="L11" s="8">
        <f>VLOOKUP(G11,'Lista de Cidade'!$A$1:$B$31,2,FALSE)</f>
        <v>45925</v>
      </c>
      <c r="M11" s="9">
        <f t="shared" si="1"/>
        <v>0</v>
      </c>
    </row>
    <row r="12" ht="22.5" customHeight="1">
      <c r="A12" s="5">
        <v>45918.64288033565</v>
      </c>
      <c r="B12" s="6" t="s">
        <v>72</v>
      </c>
      <c r="C12" s="6" t="s">
        <v>73</v>
      </c>
      <c r="D12" s="6" t="s">
        <v>74</v>
      </c>
      <c r="E12" s="7">
        <v>31683.0</v>
      </c>
      <c r="F12" s="6" t="s">
        <v>75</v>
      </c>
      <c r="G12" s="6" t="s">
        <v>54</v>
      </c>
      <c r="H12" s="6" t="s">
        <v>18</v>
      </c>
      <c r="I12" s="6" t="s">
        <v>76</v>
      </c>
      <c r="L12" s="8">
        <f>VLOOKUP(G12,'Lista de Cidade'!$A$1:$B$31,2,FALSE)</f>
        <v>45925</v>
      </c>
      <c r="M12" s="9">
        <f t="shared" si="1"/>
        <v>0</v>
      </c>
    </row>
    <row r="13" ht="22.5" customHeight="1">
      <c r="A13" s="5">
        <v>45910.57536025463</v>
      </c>
      <c r="B13" s="6" t="s">
        <v>77</v>
      </c>
      <c r="C13" s="6" t="s">
        <v>78</v>
      </c>
      <c r="D13" s="6" t="s">
        <v>79</v>
      </c>
      <c r="E13" s="7">
        <v>32006.0</v>
      </c>
      <c r="F13" s="6" t="s">
        <v>80</v>
      </c>
      <c r="G13" s="6" t="s">
        <v>81</v>
      </c>
      <c r="H13" s="6" t="s">
        <v>25</v>
      </c>
      <c r="K13" s="6" t="s">
        <v>82</v>
      </c>
      <c r="L13" s="8">
        <f>VLOOKUP(G13,'Lista de Cidade'!$A$1:$B$31,2,FALSE)</f>
        <v>45925</v>
      </c>
      <c r="M13" s="9">
        <f t="shared" si="1"/>
        <v>0</v>
      </c>
    </row>
    <row r="14" ht="22.5" customHeight="1">
      <c r="A14" s="5">
        <v>45915.571089652774</v>
      </c>
      <c r="B14" s="6" t="s">
        <v>83</v>
      </c>
      <c r="C14" s="6" t="s">
        <v>84</v>
      </c>
      <c r="D14" s="6" t="s">
        <v>85</v>
      </c>
      <c r="E14" s="7">
        <v>32412.0</v>
      </c>
      <c r="F14" s="6" t="s">
        <v>86</v>
      </c>
      <c r="G14" s="6" t="s">
        <v>87</v>
      </c>
      <c r="H14" s="6" t="s">
        <v>18</v>
      </c>
      <c r="I14" s="6" t="s">
        <v>88</v>
      </c>
      <c r="L14" s="8">
        <f>VLOOKUP(G14,'Lista de Cidade'!$A$1:$B$31,2,FALSE)</f>
        <v>45925</v>
      </c>
      <c r="M14" s="9">
        <f t="shared" si="1"/>
        <v>0</v>
      </c>
    </row>
    <row r="15" ht="22.5" customHeight="1">
      <c r="A15" s="5">
        <v>45917.360784756944</v>
      </c>
      <c r="B15" s="6" t="s">
        <v>89</v>
      </c>
      <c r="C15" s="6" t="s">
        <v>90</v>
      </c>
      <c r="D15" s="6" t="s">
        <v>91</v>
      </c>
      <c r="E15" s="7">
        <v>32481.0</v>
      </c>
      <c r="F15" s="6" t="s">
        <v>92</v>
      </c>
      <c r="G15" s="6" t="s">
        <v>93</v>
      </c>
      <c r="H15" s="6" t="s">
        <v>18</v>
      </c>
      <c r="I15" s="6" t="s">
        <v>94</v>
      </c>
      <c r="L15" s="8">
        <f>VLOOKUP(G15,'Lista de Cidade'!$A$1:$B$31,2,FALSE)</f>
        <v>45925</v>
      </c>
      <c r="M15" s="9">
        <f t="shared" si="1"/>
        <v>0</v>
      </c>
    </row>
    <row r="16" ht="22.5" customHeight="1">
      <c r="A16" s="5">
        <v>45910.396286284726</v>
      </c>
      <c r="B16" s="6" t="s">
        <v>95</v>
      </c>
      <c r="C16" s="6" t="s">
        <v>96</v>
      </c>
      <c r="D16" s="6" t="s">
        <v>97</v>
      </c>
      <c r="E16" s="7">
        <v>34050.0</v>
      </c>
      <c r="F16" s="6" t="s">
        <v>98</v>
      </c>
      <c r="G16" s="6" t="s">
        <v>99</v>
      </c>
      <c r="H16" s="6" t="s">
        <v>25</v>
      </c>
      <c r="K16" s="6" t="s">
        <v>100</v>
      </c>
      <c r="L16" s="8">
        <f>VLOOKUP(G16,'Lista de Cidade'!$A$1:$B$31,2,FALSE)</f>
        <v>45924</v>
      </c>
      <c r="M16" s="9">
        <f t="shared" si="1"/>
        <v>0</v>
      </c>
    </row>
    <row r="17" ht="22.5" customHeight="1">
      <c r="A17" s="5">
        <v>45916.69030792824</v>
      </c>
      <c r="B17" s="6" t="s">
        <v>101</v>
      </c>
      <c r="C17" s="6" t="s">
        <v>102</v>
      </c>
      <c r="D17" s="6" t="s">
        <v>103</v>
      </c>
      <c r="E17" s="7">
        <v>33507.0</v>
      </c>
      <c r="F17" s="6" t="s">
        <v>104</v>
      </c>
      <c r="G17" s="6" t="s">
        <v>31</v>
      </c>
      <c r="H17" s="6" t="s">
        <v>25</v>
      </c>
      <c r="K17" s="6" t="s">
        <v>105</v>
      </c>
      <c r="L17" s="8">
        <f>VLOOKUP(G17,'Lista de Cidade'!$A$1:$B$31,2,FALSE)</f>
        <v>45924</v>
      </c>
      <c r="M17" s="9">
        <f t="shared" si="1"/>
        <v>0</v>
      </c>
    </row>
    <row r="18" ht="22.5" customHeight="1">
      <c r="A18" s="5">
        <v>45924.67269158565</v>
      </c>
      <c r="B18" s="6" t="s">
        <v>106</v>
      </c>
      <c r="C18" s="6" t="s">
        <v>107</v>
      </c>
      <c r="D18" s="6" t="s">
        <v>108</v>
      </c>
      <c r="E18" s="7">
        <v>34029.0</v>
      </c>
      <c r="F18" s="6" t="s">
        <v>109</v>
      </c>
      <c r="G18" s="6" t="s">
        <v>110</v>
      </c>
      <c r="H18" s="6" t="s">
        <v>18</v>
      </c>
      <c r="I18" s="6" t="s">
        <v>111</v>
      </c>
      <c r="L18" s="10">
        <f>VLOOKUP(G18,'Lista de Cidade'!$A$1:$B$31,2,FALSE)</f>
        <v>45925</v>
      </c>
      <c r="M18" s="9">
        <f t="shared" si="1"/>
        <v>0</v>
      </c>
    </row>
    <row r="19" ht="22.5" customHeight="1">
      <c r="A19" s="5">
        <v>45905.41974291667</v>
      </c>
      <c r="B19" s="6" t="s">
        <v>112</v>
      </c>
      <c r="C19" s="6" t="s">
        <v>113</v>
      </c>
      <c r="D19" s="6" t="s">
        <v>114</v>
      </c>
      <c r="E19" s="7">
        <v>36102.0</v>
      </c>
      <c r="F19" s="6" t="s">
        <v>115</v>
      </c>
      <c r="G19" s="6" t="s">
        <v>116</v>
      </c>
      <c r="H19" s="6" t="s">
        <v>18</v>
      </c>
      <c r="I19" s="6" t="s">
        <v>117</v>
      </c>
      <c r="L19" s="8">
        <f>VLOOKUP(G19,'Lista de Cidade'!$A$1:$B$31,2,FALSE)</f>
        <v>45924</v>
      </c>
      <c r="M19" s="9">
        <f t="shared" si="1"/>
        <v>0</v>
      </c>
    </row>
    <row r="20" ht="22.5" customHeight="1">
      <c r="A20" s="5">
        <v>45909.384465787036</v>
      </c>
      <c r="B20" s="6" t="s">
        <v>118</v>
      </c>
      <c r="C20" s="6" t="s">
        <v>119</v>
      </c>
      <c r="D20" s="6" t="s">
        <v>120</v>
      </c>
      <c r="E20" s="7">
        <v>35699.0</v>
      </c>
      <c r="F20" s="6" t="s">
        <v>121</v>
      </c>
      <c r="G20" s="6" t="s">
        <v>122</v>
      </c>
      <c r="H20" s="6" t="s">
        <v>18</v>
      </c>
      <c r="I20" s="6" t="s">
        <v>123</v>
      </c>
      <c r="L20" s="8">
        <f>VLOOKUP(G20,'Lista de Cidade'!$A$1:$B$31,2,FALSE)</f>
        <v>45924</v>
      </c>
      <c r="M20" s="9">
        <f t="shared" si="1"/>
        <v>0</v>
      </c>
    </row>
    <row r="21" ht="22.5" customHeight="1">
      <c r="A21" s="5">
        <v>45914.65215039352</v>
      </c>
      <c r="B21" s="6" t="s">
        <v>124</v>
      </c>
      <c r="C21" s="6" t="s">
        <v>125</v>
      </c>
      <c r="D21" s="6" t="s">
        <v>126</v>
      </c>
      <c r="E21" s="7">
        <v>34708.0</v>
      </c>
      <c r="F21" s="6" t="s">
        <v>127</v>
      </c>
      <c r="G21" s="6" t="s">
        <v>60</v>
      </c>
      <c r="H21" s="6" t="s">
        <v>18</v>
      </c>
      <c r="I21" s="6" t="s">
        <v>128</v>
      </c>
      <c r="L21" s="8">
        <f>VLOOKUP(G21,'Lista de Cidade'!$A$1:$B$31,2,FALSE)</f>
        <v>45924</v>
      </c>
      <c r="M21" s="9">
        <f t="shared" si="1"/>
        <v>0</v>
      </c>
    </row>
    <row r="22" ht="22.5" customHeight="1">
      <c r="A22" s="5">
        <v>45917.364332893514</v>
      </c>
      <c r="B22" s="6" t="s">
        <v>129</v>
      </c>
      <c r="C22" s="6" t="s">
        <v>130</v>
      </c>
      <c r="D22" s="6" t="s">
        <v>131</v>
      </c>
      <c r="E22" s="7">
        <v>34279.0</v>
      </c>
      <c r="F22" s="6" t="s">
        <v>132</v>
      </c>
      <c r="G22" s="6" t="s">
        <v>93</v>
      </c>
      <c r="H22" s="6" t="s">
        <v>25</v>
      </c>
      <c r="K22" s="6" t="s">
        <v>105</v>
      </c>
      <c r="L22" s="8">
        <f>VLOOKUP(G22,'Lista de Cidade'!$A$1:$B$31,2,FALSE)</f>
        <v>45925</v>
      </c>
      <c r="M22" s="9">
        <f t="shared" si="1"/>
        <v>0</v>
      </c>
    </row>
    <row r="23" ht="22.5" customHeight="1">
      <c r="A23" s="5">
        <v>45916.68728625</v>
      </c>
      <c r="B23" s="6" t="s">
        <v>133</v>
      </c>
      <c r="C23" s="6" t="s">
        <v>134</v>
      </c>
      <c r="D23" s="6" t="s">
        <v>135</v>
      </c>
      <c r="E23" s="7">
        <v>38005.0</v>
      </c>
      <c r="F23" s="6" t="s">
        <v>136</v>
      </c>
      <c r="G23" s="6" t="s">
        <v>31</v>
      </c>
      <c r="H23" s="6" t="s">
        <v>18</v>
      </c>
      <c r="I23" s="6" t="s">
        <v>137</v>
      </c>
      <c r="L23" s="8">
        <f>VLOOKUP(G23,'Lista de Cidade'!$A$1:$B$31,2,FALSE)</f>
        <v>45924</v>
      </c>
      <c r="M23" s="9">
        <f t="shared" si="1"/>
        <v>0</v>
      </c>
    </row>
    <row r="24" ht="22.5" customHeight="1">
      <c r="A24" s="5">
        <v>45910.433530069444</v>
      </c>
      <c r="B24" s="6" t="s">
        <v>138</v>
      </c>
      <c r="C24" s="6" t="s">
        <v>139</v>
      </c>
      <c r="D24" s="6" t="s">
        <v>140</v>
      </c>
      <c r="E24" s="7">
        <v>26199.0</v>
      </c>
      <c r="F24" s="6" t="s">
        <v>141</v>
      </c>
      <c r="G24" s="6" t="s">
        <v>54</v>
      </c>
      <c r="H24" s="6" t="s">
        <v>25</v>
      </c>
      <c r="K24" s="6" t="s">
        <v>55</v>
      </c>
      <c r="L24" s="8">
        <f>VLOOKUP(G24,'Lista de Cidade'!$A$1:$B$31,2,FALSE)</f>
        <v>45925</v>
      </c>
      <c r="M24" s="9">
        <f t="shared" si="1"/>
        <v>0</v>
      </c>
    </row>
    <row r="25" ht="22.5" customHeight="1">
      <c r="A25" s="5">
        <v>45912.66448811343</v>
      </c>
      <c r="B25" s="6" t="s">
        <v>142</v>
      </c>
      <c r="C25" s="6" t="s">
        <v>143</v>
      </c>
      <c r="D25" s="6" t="s">
        <v>144</v>
      </c>
      <c r="E25" s="7">
        <v>32775.0</v>
      </c>
      <c r="F25" s="6" t="s">
        <v>145</v>
      </c>
      <c r="G25" s="6" t="s">
        <v>60</v>
      </c>
      <c r="H25" s="6" t="s">
        <v>25</v>
      </c>
      <c r="K25" s="6" t="s">
        <v>146</v>
      </c>
      <c r="L25" s="8">
        <f>VLOOKUP(G25,'Lista de Cidade'!$A$1:$B$31,2,FALSE)</f>
        <v>45924</v>
      </c>
      <c r="M25" s="9">
        <f t="shared" si="1"/>
        <v>0</v>
      </c>
    </row>
    <row r="26" ht="22.5" customHeight="1">
      <c r="A26" s="5">
        <v>45917.46902547454</v>
      </c>
      <c r="B26" s="6" t="s">
        <v>147</v>
      </c>
      <c r="C26" s="6" t="s">
        <v>148</v>
      </c>
      <c r="D26" s="6" t="s">
        <v>149</v>
      </c>
      <c r="E26" s="7">
        <v>22070.0</v>
      </c>
      <c r="F26" s="6" t="s">
        <v>150</v>
      </c>
      <c r="G26" s="6" t="s">
        <v>87</v>
      </c>
      <c r="H26" s="6" t="s">
        <v>25</v>
      </c>
      <c r="K26" s="6" t="s">
        <v>44</v>
      </c>
      <c r="L26" s="8">
        <f>VLOOKUP(G26,'Lista de Cidade'!$A$1:$B$31,2,FALSE)</f>
        <v>45925</v>
      </c>
      <c r="M26" s="9">
        <f t="shared" si="1"/>
        <v>0</v>
      </c>
    </row>
    <row r="27" ht="22.5" customHeight="1">
      <c r="A27" s="5">
        <v>45909.73235747685</v>
      </c>
      <c r="B27" s="6" t="s">
        <v>151</v>
      </c>
      <c r="C27" s="6" t="s">
        <v>152</v>
      </c>
      <c r="D27" s="6" t="s">
        <v>153</v>
      </c>
      <c r="E27" s="7">
        <v>24773.0</v>
      </c>
      <c r="F27" s="6" t="s">
        <v>154</v>
      </c>
      <c r="G27" s="6" t="s">
        <v>99</v>
      </c>
      <c r="H27" s="6" t="s">
        <v>25</v>
      </c>
      <c r="K27" s="6" t="s">
        <v>155</v>
      </c>
      <c r="L27" s="8">
        <f>VLOOKUP(G27,'Lista de Cidade'!$A$1:$B$31,2,FALSE)</f>
        <v>45924</v>
      </c>
      <c r="M27" s="9">
        <f t="shared" si="1"/>
        <v>0</v>
      </c>
    </row>
    <row r="28" ht="22.5" customHeight="1">
      <c r="A28" s="5">
        <v>45905.6334944213</v>
      </c>
      <c r="B28" s="6" t="s">
        <v>156</v>
      </c>
      <c r="C28" s="6" t="s">
        <v>157</v>
      </c>
      <c r="D28" s="6" t="s">
        <v>158</v>
      </c>
      <c r="E28" s="7">
        <v>45684.0</v>
      </c>
      <c r="F28" s="6" t="s">
        <v>159</v>
      </c>
      <c r="G28" s="6" t="s">
        <v>160</v>
      </c>
      <c r="H28" s="6" t="s">
        <v>18</v>
      </c>
      <c r="I28" s="6" t="s">
        <v>161</v>
      </c>
      <c r="L28" s="8">
        <f>VLOOKUP(G28,'Lista de Cidade'!$A$1:$B$31,2,FALSE)</f>
        <v>45924</v>
      </c>
      <c r="M28" s="9">
        <f t="shared" si="1"/>
        <v>0</v>
      </c>
    </row>
    <row r="29" ht="22.5" customHeight="1">
      <c r="A29" s="5">
        <v>45917.323728414354</v>
      </c>
      <c r="B29" s="6" t="s">
        <v>162</v>
      </c>
      <c r="C29" s="6" t="s">
        <v>163</v>
      </c>
      <c r="D29" s="6" t="s">
        <v>164</v>
      </c>
      <c r="E29" s="7">
        <v>24860.0</v>
      </c>
      <c r="F29" s="6" t="s">
        <v>165</v>
      </c>
      <c r="G29" s="6" t="s">
        <v>37</v>
      </c>
      <c r="H29" s="6" t="s">
        <v>18</v>
      </c>
      <c r="I29" s="6" t="s">
        <v>166</v>
      </c>
      <c r="L29" s="8">
        <f>VLOOKUP(G29,'Lista de Cidade'!$A$1:$B$31,2,FALSE)</f>
        <v>45925</v>
      </c>
      <c r="M29" s="9">
        <f t="shared" si="1"/>
        <v>0</v>
      </c>
    </row>
    <row r="30" ht="22.5" customHeight="1">
      <c r="A30" s="5">
        <v>45908.47576877315</v>
      </c>
      <c r="B30" s="6" t="s">
        <v>167</v>
      </c>
      <c r="C30" s="6" t="s">
        <v>168</v>
      </c>
      <c r="D30" s="6" t="s">
        <v>169</v>
      </c>
      <c r="E30" s="7">
        <v>25598.0</v>
      </c>
      <c r="F30" s="6" t="s">
        <v>170</v>
      </c>
      <c r="G30" s="6" t="s">
        <v>171</v>
      </c>
      <c r="H30" s="6" t="s">
        <v>18</v>
      </c>
      <c r="I30" s="6" t="s">
        <v>172</v>
      </c>
      <c r="L30" s="8">
        <f>VLOOKUP(G30,'Lista de Cidade'!$A$1:$B$31,2,FALSE)</f>
        <v>45925</v>
      </c>
      <c r="M30" s="9">
        <f t="shared" si="1"/>
        <v>0</v>
      </c>
    </row>
    <row r="31" ht="22.5" customHeight="1">
      <c r="A31" s="5">
        <v>45905.417742731486</v>
      </c>
      <c r="B31" s="6" t="s">
        <v>173</v>
      </c>
      <c r="C31" s="6" t="s">
        <v>174</v>
      </c>
      <c r="D31" s="6" t="s">
        <v>175</v>
      </c>
      <c r="E31" s="7">
        <v>25379.0</v>
      </c>
      <c r="F31" s="6" t="s">
        <v>176</v>
      </c>
      <c r="G31" s="6" t="s">
        <v>116</v>
      </c>
      <c r="H31" s="6" t="s">
        <v>25</v>
      </c>
      <c r="K31" s="6" t="s">
        <v>177</v>
      </c>
      <c r="L31" s="8">
        <f>VLOOKUP(G31,'Lista de Cidade'!$A$1:$B$31,2,FALSE)</f>
        <v>45924</v>
      </c>
      <c r="M31" s="9">
        <f t="shared" si="1"/>
        <v>0</v>
      </c>
    </row>
    <row r="32" ht="22.5" customHeight="1">
      <c r="A32" s="11">
        <v>45905.353797627315</v>
      </c>
      <c r="B32" s="12" t="s">
        <v>178</v>
      </c>
      <c r="C32" s="12" t="s">
        <v>179</v>
      </c>
      <c r="D32" s="12" t="s">
        <v>180</v>
      </c>
      <c r="E32" s="13">
        <v>27515.0</v>
      </c>
      <c r="F32" s="12" t="s">
        <v>181</v>
      </c>
      <c r="G32" s="12" t="s">
        <v>17</v>
      </c>
      <c r="H32" s="12" t="s">
        <v>18</v>
      </c>
      <c r="I32" s="12" t="s">
        <v>182</v>
      </c>
      <c r="J32" s="9"/>
      <c r="K32" s="9"/>
      <c r="L32" s="8">
        <f>VLOOKUP(G32,'Lista de Cidade'!$A$1:$B$31,2,FALSE)</f>
        <v>45925</v>
      </c>
      <c r="M32" s="9">
        <f t="shared" si="1"/>
        <v>0</v>
      </c>
    </row>
    <row r="33" ht="22.5" customHeight="1">
      <c r="A33" s="5">
        <v>45909.42421751157</v>
      </c>
      <c r="B33" s="6" t="s">
        <v>183</v>
      </c>
      <c r="C33" s="6" t="s">
        <v>184</v>
      </c>
      <c r="D33" s="6" t="s">
        <v>185</v>
      </c>
      <c r="E33" s="7">
        <v>25140.0</v>
      </c>
      <c r="F33" s="6" t="s">
        <v>186</v>
      </c>
      <c r="G33" s="6" t="s">
        <v>122</v>
      </c>
      <c r="H33" s="6" t="s">
        <v>18</v>
      </c>
      <c r="I33" s="6" t="s">
        <v>187</v>
      </c>
      <c r="L33" s="8">
        <f>VLOOKUP(G33,'Lista de Cidade'!$A$1:$B$31,2,FALSE)</f>
        <v>45924</v>
      </c>
      <c r="M33" s="9">
        <f t="shared" si="1"/>
        <v>0</v>
      </c>
    </row>
    <row r="34" ht="22.5" customHeight="1">
      <c r="A34" s="5">
        <v>45909.44640828704</v>
      </c>
      <c r="B34" s="6" t="s">
        <v>188</v>
      </c>
      <c r="C34" s="6" t="s">
        <v>189</v>
      </c>
      <c r="D34" s="6" t="s">
        <v>190</v>
      </c>
      <c r="E34" s="7">
        <v>27408.0</v>
      </c>
      <c r="F34" s="6" t="s">
        <v>191</v>
      </c>
      <c r="G34" s="6" t="s">
        <v>122</v>
      </c>
      <c r="H34" s="6" t="s">
        <v>25</v>
      </c>
      <c r="K34" s="6" t="s">
        <v>192</v>
      </c>
      <c r="L34" s="8">
        <f>VLOOKUP(G34,'Lista de Cidade'!$A$1:$B$31,2,FALSE)</f>
        <v>45924</v>
      </c>
      <c r="M34" s="9">
        <f t="shared" si="1"/>
        <v>0</v>
      </c>
    </row>
    <row r="35" ht="22.5" customHeight="1">
      <c r="A35" s="5">
        <v>45910.56929018519</v>
      </c>
      <c r="B35" s="6" t="s">
        <v>193</v>
      </c>
      <c r="C35" s="6" t="s">
        <v>194</v>
      </c>
      <c r="D35" s="6" t="s">
        <v>195</v>
      </c>
      <c r="E35" s="7">
        <v>28425.0</v>
      </c>
      <c r="F35" s="6" t="s">
        <v>196</v>
      </c>
      <c r="G35" s="6" t="s">
        <v>81</v>
      </c>
      <c r="H35" s="6" t="s">
        <v>18</v>
      </c>
      <c r="I35" s="6" t="s">
        <v>172</v>
      </c>
      <c r="J35" s="6" t="s">
        <v>197</v>
      </c>
      <c r="L35" s="8">
        <f>VLOOKUP(G35,'Lista de Cidade'!$A$1:$B$31,2,FALSE)</f>
        <v>45925</v>
      </c>
      <c r="M35" s="9">
        <f t="shared" si="1"/>
        <v>0</v>
      </c>
    </row>
    <row r="36" ht="22.5" customHeight="1">
      <c r="A36" s="5">
        <v>45905.43245516204</v>
      </c>
      <c r="B36" s="6" t="s">
        <v>198</v>
      </c>
      <c r="C36" s="6" t="s">
        <v>199</v>
      </c>
      <c r="D36" s="6" t="s">
        <v>200</v>
      </c>
      <c r="E36" s="7">
        <v>26507.0</v>
      </c>
      <c r="F36" s="6" t="s">
        <v>201</v>
      </c>
      <c r="G36" s="6" t="s">
        <v>116</v>
      </c>
      <c r="H36" s="6" t="s">
        <v>18</v>
      </c>
      <c r="I36" s="6" t="s">
        <v>202</v>
      </c>
      <c r="L36" s="8">
        <f>VLOOKUP(G36,'Lista de Cidade'!$A$1:$B$31,2,FALSE)</f>
        <v>45924</v>
      </c>
      <c r="M36" s="9">
        <f t="shared" si="1"/>
        <v>0</v>
      </c>
    </row>
    <row r="37" ht="22.5" customHeight="1">
      <c r="A37" s="5">
        <v>45911.54819755787</v>
      </c>
      <c r="B37" s="6" t="s">
        <v>203</v>
      </c>
      <c r="C37" s="6" t="s">
        <v>204</v>
      </c>
      <c r="D37" s="6" t="s">
        <v>205</v>
      </c>
      <c r="E37" s="7">
        <v>26116.0</v>
      </c>
      <c r="F37" s="6" t="s">
        <v>206</v>
      </c>
      <c r="G37" s="6" t="s">
        <v>207</v>
      </c>
      <c r="H37" s="6" t="s">
        <v>25</v>
      </c>
      <c r="K37" s="6" t="s">
        <v>208</v>
      </c>
      <c r="L37" s="8">
        <f>VLOOKUP(G37,'Lista de Cidade'!$A$1:$B$31,2,FALSE)</f>
        <v>45924</v>
      </c>
      <c r="M37" s="9">
        <f t="shared" si="1"/>
        <v>0</v>
      </c>
    </row>
    <row r="38" ht="22.5" customHeight="1">
      <c r="A38" s="5">
        <v>45908.36117037037</v>
      </c>
      <c r="B38" s="6" t="s">
        <v>209</v>
      </c>
      <c r="C38" s="6" t="s">
        <v>210</v>
      </c>
      <c r="D38" s="6" t="s">
        <v>211</v>
      </c>
      <c r="E38" s="7">
        <v>24930.0</v>
      </c>
      <c r="F38" s="6" t="s">
        <v>212</v>
      </c>
      <c r="G38" s="6" t="s">
        <v>207</v>
      </c>
      <c r="H38" s="6" t="s">
        <v>18</v>
      </c>
      <c r="I38" s="6" t="s">
        <v>213</v>
      </c>
      <c r="J38" s="6" t="s">
        <v>214</v>
      </c>
      <c r="L38" s="8">
        <f>VLOOKUP(G38,'Lista de Cidade'!$A$1:$B$31,2,FALSE)</f>
        <v>45924</v>
      </c>
      <c r="M38" s="9">
        <f t="shared" si="1"/>
        <v>0</v>
      </c>
    </row>
    <row r="39" ht="22.5" customHeight="1">
      <c r="A39" s="5">
        <v>45905.70560439814</v>
      </c>
      <c r="B39" s="6" t="s">
        <v>215</v>
      </c>
      <c r="C39" s="6" t="s">
        <v>216</v>
      </c>
      <c r="D39" s="6" t="s">
        <v>217</v>
      </c>
      <c r="E39" s="7">
        <v>29615.0</v>
      </c>
      <c r="F39" s="6" t="s">
        <v>218</v>
      </c>
      <c r="G39" s="6" t="s">
        <v>219</v>
      </c>
      <c r="H39" s="6" t="s">
        <v>18</v>
      </c>
      <c r="I39" s="6" t="s">
        <v>220</v>
      </c>
      <c r="L39" s="8">
        <f>VLOOKUP(G39,'Lista de Cidade'!$A$1:$B$31,2,FALSE)</f>
        <v>45925</v>
      </c>
      <c r="M39" s="9">
        <f t="shared" si="1"/>
        <v>0</v>
      </c>
    </row>
    <row r="40" ht="22.5" customHeight="1">
      <c r="A40" s="5">
        <v>45918.88637202546</v>
      </c>
      <c r="B40" s="6" t="s">
        <v>221</v>
      </c>
      <c r="C40" s="6" t="s">
        <v>222</v>
      </c>
      <c r="D40" s="6" t="s">
        <v>223</v>
      </c>
      <c r="E40" s="7">
        <v>27522.0</v>
      </c>
      <c r="F40" s="6" t="s">
        <v>224</v>
      </c>
      <c r="G40" s="6" t="s">
        <v>225</v>
      </c>
      <c r="H40" s="6" t="s">
        <v>18</v>
      </c>
      <c r="I40" s="6" t="s">
        <v>226</v>
      </c>
      <c r="L40" s="8">
        <f>VLOOKUP(G40,'Lista de Cidade'!$A$1:$B$31,2,FALSE)</f>
        <v>45925</v>
      </c>
      <c r="M40" s="9">
        <f t="shared" si="1"/>
        <v>0</v>
      </c>
    </row>
    <row r="41" ht="22.5" customHeight="1">
      <c r="A41" s="5">
        <v>45919.583497314816</v>
      </c>
      <c r="B41" s="6" t="s">
        <v>227</v>
      </c>
      <c r="C41" s="6" t="s">
        <v>228</v>
      </c>
      <c r="D41" s="6" t="s">
        <v>229</v>
      </c>
      <c r="E41" s="7">
        <v>27939.0</v>
      </c>
      <c r="F41" s="6" t="s">
        <v>230</v>
      </c>
      <c r="G41" s="6" t="s">
        <v>37</v>
      </c>
      <c r="H41" s="6" t="s">
        <v>25</v>
      </c>
      <c r="K41" s="6" t="s">
        <v>231</v>
      </c>
      <c r="L41" s="8">
        <f>VLOOKUP(G41,'Lista de Cidade'!$A$1:$B$31,2,FALSE)</f>
        <v>45925</v>
      </c>
      <c r="M41" s="9">
        <f t="shared" si="1"/>
        <v>0</v>
      </c>
    </row>
    <row r="42" ht="22.5" customHeight="1">
      <c r="A42" s="5">
        <v>45919.36462025463</v>
      </c>
      <c r="B42" s="6" t="s">
        <v>232</v>
      </c>
      <c r="C42" s="6" t="s">
        <v>233</v>
      </c>
      <c r="D42" s="6" t="s">
        <v>234</v>
      </c>
      <c r="E42" s="7">
        <v>26967.0</v>
      </c>
      <c r="F42" s="6" t="s">
        <v>235</v>
      </c>
      <c r="G42" s="6" t="s">
        <v>225</v>
      </c>
      <c r="H42" s="6" t="s">
        <v>18</v>
      </c>
      <c r="I42" s="6" t="s">
        <v>236</v>
      </c>
      <c r="L42" s="8">
        <f>VLOOKUP(G42,'Lista de Cidade'!$A$1:$B$31,2,FALSE)</f>
        <v>45925</v>
      </c>
      <c r="M42" s="9">
        <f t="shared" si="1"/>
        <v>0</v>
      </c>
    </row>
    <row r="43" ht="22.5" customHeight="1">
      <c r="A43" s="5">
        <v>45908.70808722222</v>
      </c>
      <c r="B43" s="6" t="s">
        <v>237</v>
      </c>
      <c r="C43" s="6" t="s">
        <v>238</v>
      </c>
      <c r="D43" s="6" t="s">
        <v>239</v>
      </c>
      <c r="E43" s="7">
        <v>27294.0</v>
      </c>
      <c r="F43" s="6" t="s">
        <v>240</v>
      </c>
      <c r="G43" s="6" t="s">
        <v>54</v>
      </c>
      <c r="H43" s="6" t="s">
        <v>18</v>
      </c>
      <c r="I43" s="6" t="s">
        <v>241</v>
      </c>
      <c r="J43" s="6" t="s">
        <v>242</v>
      </c>
      <c r="L43" s="8">
        <f>VLOOKUP(G43,'Lista de Cidade'!$A$1:$B$31,2,FALSE)</f>
        <v>45925</v>
      </c>
      <c r="M43" s="9">
        <f t="shared" si="1"/>
        <v>0</v>
      </c>
    </row>
    <row r="44" ht="22.5" customHeight="1">
      <c r="A44" s="5">
        <v>45911.307453194444</v>
      </c>
      <c r="B44" s="6" t="s">
        <v>243</v>
      </c>
      <c r="C44" s="6" t="s">
        <v>244</v>
      </c>
      <c r="D44" s="6" t="s">
        <v>245</v>
      </c>
      <c r="E44" s="7">
        <v>27731.0</v>
      </c>
      <c r="F44" s="6" t="s">
        <v>246</v>
      </c>
      <c r="G44" s="6" t="s">
        <v>247</v>
      </c>
      <c r="H44" s="6" t="s">
        <v>25</v>
      </c>
      <c r="K44" s="6" t="s">
        <v>192</v>
      </c>
      <c r="L44" s="8">
        <f>VLOOKUP(G44,'Lista de Cidade'!$A$1:$B$31,2,FALSE)</f>
        <v>45924</v>
      </c>
      <c r="M44" s="9">
        <f t="shared" si="1"/>
        <v>0</v>
      </c>
    </row>
    <row r="45" ht="22.5" customHeight="1">
      <c r="A45" s="5">
        <v>45910.4387784375</v>
      </c>
      <c r="B45" s="6" t="s">
        <v>248</v>
      </c>
      <c r="C45" s="6" t="s">
        <v>249</v>
      </c>
      <c r="D45" s="6" t="s">
        <v>250</v>
      </c>
      <c r="E45" s="7">
        <v>29786.0</v>
      </c>
      <c r="F45" s="6" t="s">
        <v>251</v>
      </c>
      <c r="G45" s="6" t="s">
        <v>247</v>
      </c>
      <c r="H45" s="6" t="s">
        <v>18</v>
      </c>
      <c r="I45" s="6" t="s">
        <v>252</v>
      </c>
      <c r="L45" s="8">
        <f>VLOOKUP(G45,'Lista de Cidade'!$A$1:$B$31,2,FALSE)</f>
        <v>45924</v>
      </c>
      <c r="M45" s="9">
        <f t="shared" si="1"/>
        <v>0</v>
      </c>
    </row>
    <row r="46" ht="22.5" customHeight="1">
      <c r="A46" s="5">
        <v>45910.41195981481</v>
      </c>
      <c r="B46" s="6" t="s">
        <v>253</v>
      </c>
      <c r="C46" s="6" t="s">
        <v>254</v>
      </c>
      <c r="D46" s="6" t="s">
        <v>255</v>
      </c>
      <c r="E46" s="7">
        <v>27490.0</v>
      </c>
      <c r="F46" s="6" t="s">
        <v>256</v>
      </c>
      <c r="G46" s="6" t="s">
        <v>99</v>
      </c>
      <c r="H46" s="6" t="s">
        <v>18</v>
      </c>
      <c r="I46" s="6" t="s">
        <v>257</v>
      </c>
      <c r="L46" s="8">
        <f>VLOOKUP(G46,'Lista de Cidade'!$A$1:$B$31,2,FALSE)</f>
        <v>45924</v>
      </c>
      <c r="M46" s="9">
        <f t="shared" si="1"/>
        <v>0</v>
      </c>
    </row>
    <row r="47" ht="22.5" customHeight="1">
      <c r="A47" s="5">
        <v>45908.8918165162</v>
      </c>
      <c r="B47" s="6" t="s">
        <v>258</v>
      </c>
      <c r="C47" s="6" t="s">
        <v>259</v>
      </c>
      <c r="D47" s="6" t="s">
        <v>260</v>
      </c>
      <c r="E47" s="7" t="s">
        <v>261</v>
      </c>
      <c r="F47" s="6" t="s">
        <v>262</v>
      </c>
      <c r="G47" s="6" t="s">
        <v>54</v>
      </c>
      <c r="H47" s="6" t="s">
        <v>18</v>
      </c>
      <c r="I47" s="6" t="s">
        <v>263</v>
      </c>
      <c r="L47" s="8">
        <f>VLOOKUP(G47,'Lista de Cidade'!$A$1:$B$31,2,FALSE)</f>
        <v>45925</v>
      </c>
      <c r="M47" s="9">
        <f t="shared" si="1"/>
        <v>0</v>
      </c>
    </row>
    <row r="48" ht="22.5" customHeight="1">
      <c r="A48" s="5">
        <v>45908.67149583333</v>
      </c>
      <c r="B48" s="6" t="s">
        <v>264</v>
      </c>
      <c r="C48" s="6" t="s">
        <v>265</v>
      </c>
      <c r="D48" s="6" t="s">
        <v>266</v>
      </c>
      <c r="E48" s="7">
        <v>30299.0</v>
      </c>
      <c r="F48" s="6" t="s">
        <v>267</v>
      </c>
      <c r="G48" s="6" t="s">
        <v>43</v>
      </c>
      <c r="H48" s="6" t="s">
        <v>18</v>
      </c>
      <c r="I48" s="6" t="s">
        <v>268</v>
      </c>
      <c r="L48" s="8">
        <f>VLOOKUP(G48,'Lista de Cidade'!$A$1:$B$31,2,FALSE)</f>
        <v>45924</v>
      </c>
      <c r="M48" s="9">
        <f t="shared" si="1"/>
        <v>0</v>
      </c>
    </row>
    <row r="49" ht="22.5" customHeight="1">
      <c r="A49" s="5">
        <v>45909.58679681713</v>
      </c>
      <c r="B49" s="6" t="s">
        <v>269</v>
      </c>
      <c r="C49" s="6" t="s">
        <v>270</v>
      </c>
      <c r="D49" s="6" t="s">
        <v>271</v>
      </c>
      <c r="E49" s="7">
        <v>29800.0</v>
      </c>
      <c r="F49" s="6" t="s">
        <v>272</v>
      </c>
      <c r="G49" s="6" t="s">
        <v>122</v>
      </c>
      <c r="H49" s="6" t="s">
        <v>25</v>
      </c>
      <c r="K49" s="6" t="s">
        <v>192</v>
      </c>
      <c r="L49" s="8">
        <f>VLOOKUP(G49,'Lista de Cidade'!$A$1:$B$31,2,FALSE)</f>
        <v>45924</v>
      </c>
      <c r="M49" s="9">
        <f t="shared" si="1"/>
        <v>0</v>
      </c>
    </row>
    <row r="50" ht="22.5" customHeight="1">
      <c r="A50" s="5">
        <v>45908.66503645833</v>
      </c>
      <c r="B50" s="6" t="s">
        <v>273</v>
      </c>
      <c r="C50" s="6" t="s">
        <v>274</v>
      </c>
      <c r="D50" s="6" t="s">
        <v>275</v>
      </c>
      <c r="E50" s="7">
        <v>30047.0</v>
      </c>
      <c r="F50" s="6" t="s">
        <v>276</v>
      </c>
      <c r="G50" s="6" t="s">
        <v>43</v>
      </c>
      <c r="H50" s="6" t="s">
        <v>18</v>
      </c>
      <c r="I50" s="6" t="s">
        <v>277</v>
      </c>
      <c r="L50" s="8">
        <f>VLOOKUP(G50,'Lista de Cidade'!$A$1:$B$31,2,FALSE)</f>
        <v>45924</v>
      </c>
      <c r="M50" s="9">
        <f t="shared" si="1"/>
        <v>0</v>
      </c>
    </row>
    <row r="51" ht="22.5" customHeight="1">
      <c r="A51" s="5">
        <v>45917.4397052662</v>
      </c>
      <c r="B51" s="6" t="s">
        <v>278</v>
      </c>
      <c r="C51" s="6" t="s">
        <v>279</v>
      </c>
      <c r="D51" s="6" t="s">
        <v>280</v>
      </c>
      <c r="E51" s="7">
        <v>26740.0</v>
      </c>
      <c r="F51" s="6" t="s">
        <v>281</v>
      </c>
      <c r="G51" s="6" t="s">
        <v>225</v>
      </c>
      <c r="H51" s="6" t="s">
        <v>18</v>
      </c>
      <c r="I51" s="6" t="s">
        <v>282</v>
      </c>
      <c r="L51" s="8">
        <f>VLOOKUP(G51,'Lista de Cidade'!$A$1:$B$31,2,FALSE)</f>
        <v>45925</v>
      </c>
      <c r="M51" s="9">
        <f t="shared" si="1"/>
        <v>0</v>
      </c>
    </row>
    <row r="52" ht="22.5" customHeight="1">
      <c r="A52" s="5">
        <v>45910.461386828705</v>
      </c>
      <c r="B52" s="6" t="s">
        <v>283</v>
      </c>
      <c r="C52" s="6" t="s">
        <v>284</v>
      </c>
      <c r="D52" s="6" t="s">
        <v>285</v>
      </c>
      <c r="E52" s="7">
        <v>30307.0</v>
      </c>
      <c r="F52" s="6" t="s">
        <v>286</v>
      </c>
      <c r="G52" s="6" t="s">
        <v>287</v>
      </c>
      <c r="H52" s="6" t="s">
        <v>25</v>
      </c>
      <c r="K52" s="6" t="s">
        <v>288</v>
      </c>
      <c r="L52" s="8">
        <f>VLOOKUP(G52,'Lista de Cidade'!$A$1:$B$31,2,FALSE)</f>
        <v>45924</v>
      </c>
      <c r="M52" s="9">
        <f t="shared" si="1"/>
        <v>0</v>
      </c>
    </row>
    <row r="53" ht="22.5" customHeight="1">
      <c r="A53" s="5">
        <v>45915.369859293976</v>
      </c>
      <c r="B53" s="6" t="s">
        <v>289</v>
      </c>
      <c r="C53" s="6" t="s">
        <v>290</v>
      </c>
      <c r="D53" s="6" t="s">
        <v>291</v>
      </c>
      <c r="E53" s="7">
        <v>30146.0</v>
      </c>
      <c r="F53" s="6" t="s">
        <v>292</v>
      </c>
      <c r="G53" s="6" t="s">
        <v>287</v>
      </c>
      <c r="H53" s="6" t="s">
        <v>18</v>
      </c>
      <c r="I53" s="6" t="s">
        <v>293</v>
      </c>
      <c r="L53" s="8">
        <f>VLOOKUP(G53,'Lista de Cidade'!$A$1:$B$31,2,FALSE)</f>
        <v>45924</v>
      </c>
      <c r="M53" s="9">
        <f t="shared" si="1"/>
        <v>0</v>
      </c>
    </row>
    <row r="54" ht="22.5" customHeight="1">
      <c r="A54" s="5">
        <v>45912.43140075231</v>
      </c>
      <c r="B54" s="6" t="s">
        <v>294</v>
      </c>
      <c r="C54" s="6" t="s">
        <v>295</v>
      </c>
      <c r="D54" s="6" t="s">
        <v>296</v>
      </c>
      <c r="E54" s="7">
        <v>30578.0</v>
      </c>
      <c r="F54" s="6" t="s">
        <v>297</v>
      </c>
      <c r="G54" s="6" t="s">
        <v>160</v>
      </c>
      <c r="H54" s="6" t="s">
        <v>25</v>
      </c>
      <c r="K54" s="6" t="s">
        <v>298</v>
      </c>
      <c r="L54" s="8">
        <f>VLOOKUP(G54,'Lista de Cidade'!$A$1:$B$31,2,FALSE)</f>
        <v>45924</v>
      </c>
      <c r="M54" s="9">
        <f t="shared" si="1"/>
        <v>0</v>
      </c>
    </row>
    <row r="55" ht="22.5" customHeight="1">
      <c r="A55" s="5">
        <v>45910.4043381713</v>
      </c>
      <c r="B55" s="6" t="s">
        <v>299</v>
      </c>
      <c r="C55" s="6" t="s">
        <v>300</v>
      </c>
      <c r="D55" s="6" t="s">
        <v>301</v>
      </c>
      <c r="E55" s="7">
        <v>31175.0</v>
      </c>
      <c r="F55" s="6" t="s">
        <v>302</v>
      </c>
      <c r="G55" s="6" t="s">
        <v>99</v>
      </c>
      <c r="H55" s="6" t="s">
        <v>18</v>
      </c>
      <c r="I55" s="6" t="s">
        <v>303</v>
      </c>
      <c r="L55" s="8">
        <f>VLOOKUP(G55,'Lista de Cidade'!$A$1:$B$31,2,FALSE)</f>
        <v>45924</v>
      </c>
      <c r="M55" s="9">
        <f t="shared" si="1"/>
        <v>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304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</row>
    <row r="2">
      <c r="A2" s="16">
        <v>45905.417742731486</v>
      </c>
      <c r="B2" s="15" t="s">
        <v>173</v>
      </c>
      <c r="C2" s="15" t="s">
        <v>174</v>
      </c>
      <c r="D2" s="15" t="s">
        <v>175</v>
      </c>
      <c r="E2" s="17">
        <v>25379.0</v>
      </c>
      <c r="F2" s="15" t="s">
        <v>176</v>
      </c>
      <c r="G2" s="15" t="s">
        <v>116</v>
      </c>
      <c r="H2" s="15" t="s">
        <v>25</v>
      </c>
      <c r="K2" s="15" t="s">
        <v>177</v>
      </c>
      <c r="L2" s="18">
        <v>45924.0</v>
      </c>
    </row>
    <row r="3">
      <c r="A3" s="16">
        <v>45905.41974291667</v>
      </c>
      <c r="B3" s="15" t="s">
        <v>112</v>
      </c>
      <c r="C3" s="15" t="s">
        <v>113</v>
      </c>
      <c r="D3" s="15" t="s">
        <v>114</v>
      </c>
      <c r="E3" s="17">
        <v>36102.0</v>
      </c>
      <c r="F3" s="15" t="s">
        <v>115</v>
      </c>
      <c r="G3" s="15" t="s">
        <v>116</v>
      </c>
      <c r="H3" s="15" t="s">
        <v>18</v>
      </c>
      <c r="I3" s="15" t="s">
        <v>117</v>
      </c>
      <c r="L3" s="18">
        <v>45924.0</v>
      </c>
    </row>
    <row r="4">
      <c r="A4" s="16">
        <v>45905.43245516204</v>
      </c>
      <c r="B4" s="15" t="s">
        <v>198</v>
      </c>
      <c r="C4" s="15" t="s">
        <v>199</v>
      </c>
      <c r="D4" s="15" t="s">
        <v>200</v>
      </c>
      <c r="E4" s="17">
        <v>26507.0</v>
      </c>
      <c r="F4" s="15" t="s">
        <v>201</v>
      </c>
      <c r="G4" s="15" t="s">
        <v>116</v>
      </c>
      <c r="H4" s="15" t="s">
        <v>18</v>
      </c>
      <c r="I4" s="15" t="s">
        <v>202</v>
      </c>
      <c r="L4" s="18">
        <v>45924.0</v>
      </c>
    </row>
    <row r="5">
      <c r="A5" s="16">
        <v>45905.59277920139</v>
      </c>
      <c r="B5" s="15" t="s">
        <v>273</v>
      </c>
      <c r="C5" s="15" t="s">
        <v>274</v>
      </c>
      <c r="D5" s="15" t="s">
        <v>275</v>
      </c>
      <c r="E5" s="17">
        <v>30047.0</v>
      </c>
      <c r="F5" s="15" t="s">
        <v>276</v>
      </c>
      <c r="G5" s="15" t="s">
        <v>43</v>
      </c>
      <c r="H5" s="15" t="s">
        <v>18</v>
      </c>
      <c r="I5" s="15" t="s">
        <v>305</v>
      </c>
      <c r="L5" s="18">
        <v>45924.0</v>
      </c>
    </row>
    <row r="6">
      <c r="A6" s="16">
        <v>45905.59731109954</v>
      </c>
      <c r="B6" s="15" t="s">
        <v>264</v>
      </c>
      <c r="C6" s="15" t="s">
        <v>265</v>
      </c>
      <c r="D6" s="15" t="s">
        <v>266</v>
      </c>
      <c r="E6" s="17">
        <v>30299.0</v>
      </c>
      <c r="F6" s="15" t="s">
        <v>267</v>
      </c>
      <c r="G6" s="15" t="s">
        <v>43</v>
      </c>
      <c r="H6" s="15" t="s">
        <v>18</v>
      </c>
      <c r="I6" s="15" t="s">
        <v>268</v>
      </c>
      <c r="L6" s="18">
        <v>45924.0</v>
      </c>
    </row>
    <row r="7">
      <c r="A7" s="16">
        <v>45905.6334944213</v>
      </c>
      <c r="B7" s="15" t="s">
        <v>156</v>
      </c>
      <c r="C7" s="15" t="s">
        <v>157</v>
      </c>
      <c r="D7" s="15" t="s">
        <v>158</v>
      </c>
      <c r="E7" s="17">
        <v>45684.0</v>
      </c>
      <c r="F7" s="15" t="s">
        <v>159</v>
      </c>
      <c r="G7" s="15" t="s">
        <v>160</v>
      </c>
      <c r="H7" s="15" t="s">
        <v>18</v>
      </c>
      <c r="I7" s="15" t="s">
        <v>161</v>
      </c>
      <c r="L7" s="18">
        <v>45924.0</v>
      </c>
    </row>
    <row r="8">
      <c r="A8" s="16">
        <v>45908.36117037037</v>
      </c>
      <c r="B8" s="15" t="s">
        <v>209</v>
      </c>
      <c r="C8" s="15" t="s">
        <v>210</v>
      </c>
      <c r="D8" s="15" t="s">
        <v>211</v>
      </c>
      <c r="E8" s="17">
        <v>24930.0</v>
      </c>
      <c r="F8" s="15" t="s">
        <v>212</v>
      </c>
      <c r="G8" s="15" t="s">
        <v>207</v>
      </c>
      <c r="H8" s="15" t="s">
        <v>18</v>
      </c>
      <c r="I8" s="15" t="s">
        <v>213</v>
      </c>
      <c r="J8" s="15" t="s">
        <v>214</v>
      </c>
      <c r="L8" s="18">
        <v>45924.0</v>
      </c>
    </row>
    <row r="9">
      <c r="A9" s="16">
        <v>45908.65367480324</v>
      </c>
      <c r="B9" s="15" t="s">
        <v>39</v>
      </c>
      <c r="C9" s="15" t="s">
        <v>40</v>
      </c>
      <c r="D9" s="15" t="s">
        <v>41</v>
      </c>
      <c r="E9" s="17">
        <v>29948.0</v>
      </c>
      <c r="F9" s="15" t="s">
        <v>42</v>
      </c>
      <c r="G9" s="15" t="s">
        <v>43</v>
      </c>
      <c r="H9" s="15" t="s">
        <v>25</v>
      </c>
      <c r="K9" s="15" t="s">
        <v>44</v>
      </c>
      <c r="L9" s="18">
        <v>45924.0</v>
      </c>
    </row>
    <row r="10">
      <c r="A10" s="16">
        <v>45908.66503645833</v>
      </c>
      <c r="B10" s="15" t="s">
        <v>273</v>
      </c>
      <c r="C10" s="15" t="s">
        <v>274</v>
      </c>
      <c r="D10" s="15" t="s">
        <v>275</v>
      </c>
      <c r="E10" s="17">
        <v>30047.0</v>
      </c>
      <c r="F10" s="15" t="s">
        <v>276</v>
      </c>
      <c r="G10" s="15" t="s">
        <v>43</v>
      </c>
      <c r="H10" s="15" t="s">
        <v>18</v>
      </c>
      <c r="I10" s="15" t="s">
        <v>277</v>
      </c>
      <c r="L10" s="18">
        <v>45924.0</v>
      </c>
    </row>
    <row r="11">
      <c r="A11" s="16">
        <v>45908.67149583333</v>
      </c>
      <c r="B11" s="15" t="s">
        <v>264</v>
      </c>
      <c r="C11" s="15" t="s">
        <v>265</v>
      </c>
      <c r="D11" s="15" t="s">
        <v>266</v>
      </c>
      <c r="E11" s="17">
        <v>30299.0</v>
      </c>
      <c r="F11" s="15" t="s">
        <v>267</v>
      </c>
      <c r="G11" s="15" t="s">
        <v>43</v>
      </c>
      <c r="H11" s="15" t="s">
        <v>18</v>
      </c>
      <c r="I11" s="15" t="s">
        <v>268</v>
      </c>
      <c r="L11" s="18">
        <v>45924.0</v>
      </c>
    </row>
    <row r="12">
      <c r="A12" s="16">
        <v>45909.384465787036</v>
      </c>
      <c r="B12" s="15" t="s">
        <v>118</v>
      </c>
      <c r="C12" s="15" t="s">
        <v>119</v>
      </c>
      <c r="D12" s="15" t="s">
        <v>120</v>
      </c>
      <c r="E12" s="17">
        <v>35699.0</v>
      </c>
      <c r="F12" s="15" t="s">
        <v>121</v>
      </c>
      <c r="G12" s="15" t="s">
        <v>122</v>
      </c>
      <c r="H12" s="15" t="s">
        <v>18</v>
      </c>
      <c r="I12" s="15" t="s">
        <v>123</v>
      </c>
      <c r="L12" s="18">
        <v>45924.0</v>
      </c>
    </row>
    <row r="13">
      <c r="A13" s="16">
        <v>45909.42421751157</v>
      </c>
      <c r="B13" s="15" t="s">
        <v>183</v>
      </c>
      <c r="C13" s="15" t="s">
        <v>184</v>
      </c>
      <c r="D13" s="15" t="s">
        <v>185</v>
      </c>
      <c r="E13" s="17">
        <v>25140.0</v>
      </c>
      <c r="F13" s="15" t="s">
        <v>186</v>
      </c>
      <c r="G13" s="15" t="s">
        <v>122</v>
      </c>
      <c r="H13" s="15" t="s">
        <v>18</v>
      </c>
      <c r="I13" s="15" t="s">
        <v>187</v>
      </c>
      <c r="L13" s="18">
        <v>45924.0</v>
      </c>
    </row>
    <row r="14">
      <c r="A14" s="16">
        <v>45909.44640828704</v>
      </c>
      <c r="B14" s="15" t="s">
        <v>188</v>
      </c>
      <c r="C14" s="15" t="s">
        <v>189</v>
      </c>
      <c r="D14" s="15" t="s">
        <v>190</v>
      </c>
      <c r="E14" s="17">
        <v>27408.0</v>
      </c>
      <c r="F14" s="15" t="s">
        <v>191</v>
      </c>
      <c r="G14" s="15" t="s">
        <v>122</v>
      </c>
      <c r="H14" s="15" t="s">
        <v>25</v>
      </c>
      <c r="K14" s="15" t="s">
        <v>192</v>
      </c>
      <c r="L14" s="18">
        <v>45924.0</v>
      </c>
    </row>
    <row r="15">
      <c r="A15" s="16">
        <v>45909.58679681713</v>
      </c>
      <c r="B15" s="15" t="s">
        <v>269</v>
      </c>
      <c r="C15" s="15" t="s">
        <v>270</v>
      </c>
      <c r="D15" s="15" t="s">
        <v>271</v>
      </c>
      <c r="E15" s="17">
        <v>29800.0</v>
      </c>
      <c r="F15" s="15" t="s">
        <v>272</v>
      </c>
      <c r="G15" s="15" t="s">
        <v>122</v>
      </c>
      <c r="H15" s="15" t="s">
        <v>25</v>
      </c>
      <c r="K15" s="15" t="s">
        <v>192</v>
      </c>
      <c r="L15" s="18">
        <v>45924.0</v>
      </c>
    </row>
    <row r="16">
      <c r="A16" s="16">
        <v>45909.73235747685</v>
      </c>
      <c r="B16" s="15" t="s">
        <v>151</v>
      </c>
      <c r="C16" s="15" t="s">
        <v>152</v>
      </c>
      <c r="D16" s="15" t="s">
        <v>153</v>
      </c>
      <c r="E16" s="17">
        <v>24773.0</v>
      </c>
      <c r="F16" s="15" t="s">
        <v>154</v>
      </c>
      <c r="G16" s="15" t="s">
        <v>99</v>
      </c>
      <c r="H16" s="15" t="s">
        <v>25</v>
      </c>
      <c r="K16" s="15" t="s">
        <v>155</v>
      </c>
      <c r="L16" s="18">
        <v>45924.0</v>
      </c>
    </row>
    <row r="17">
      <c r="A17" s="16">
        <v>45910.396286284726</v>
      </c>
      <c r="B17" s="15" t="s">
        <v>95</v>
      </c>
      <c r="C17" s="15" t="s">
        <v>96</v>
      </c>
      <c r="D17" s="15" t="s">
        <v>97</v>
      </c>
      <c r="E17" s="17">
        <v>34050.0</v>
      </c>
      <c r="F17" s="15" t="s">
        <v>98</v>
      </c>
      <c r="G17" s="15" t="s">
        <v>99</v>
      </c>
      <c r="H17" s="15" t="s">
        <v>25</v>
      </c>
      <c r="K17" s="15" t="s">
        <v>100</v>
      </c>
      <c r="L17" s="18">
        <v>45924.0</v>
      </c>
    </row>
    <row r="18">
      <c r="A18" s="16">
        <v>45910.4043381713</v>
      </c>
      <c r="B18" s="15" t="s">
        <v>299</v>
      </c>
      <c r="C18" s="15" t="s">
        <v>300</v>
      </c>
      <c r="D18" s="15" t="s">
        <v>301</v>
      </c>
      <c r="E18" s="17">
        <v>31175.0</v>
      </c>
      <c r="F18" s="15" t="s">
        <v>302</v>
      </c>
      <c r="G18" s="15" t="s">
        <v>99</v>
      </c>
      <c r="H18" s="15" t="s">
        <v>18</v>
      </c>
      <c r="I18" s="15" t="s">
        <v>303</v>
      </c>
      <c r="L18" s="18">
        <v>45924.0</v>
      </c>
    </row>
    <row r="19">
      <c r="A19" s="16">
        <v>45910.41195981481</v>
      </c>
      <c r="B19" s="15" t="s">
        <v>253</v>
      </c>
      <c r="C19" s="15" t="s">
        <v>254</v>
      </c>
      <c r="D19" s="15" t="s">
        <v>255</v>
      </c>
      <c r="E19" s="17">
        <v>27490.0</v>
      </c>
      <c r="F19" s="15" t="s">
        <v>256</v>
      </c>
      <c r="G19" s="15" t="s">
        <v>99</v>
      </c>
      <c r="H19" s="15" t="s">
        <v>18</v>
      </c>
      <c r="I19" s="15" t="s">
        <v>257</v>
      </c>
      <c r="L19" s="18">
        <v>45924.0</v>
      </c>
    </row>
    <row r="20">
      <c r="A20" s="16">
        <v>45910.4387784375</v>
      </c>
      <c r="B20" s="15" t="s">
        <v>248</v>
      </c>
      <c r="C20" s="15" t="s">
        <v>249</v>
      </c>
      <c r="D20" s="15" t="s">
        <v>250</v>
      </c>
      <c r="E20" s="17">
        <v>29786.0</v>
      </c>
      <c r="F20" s="15" t="s">
        <v>251</v>
      </c>
      <c r="G20" s="15" t="s">
        <v>247</v>
      </c>
      <c r="H20" s="15" t="s">
        <v>18</v>
      </c>
      <c r="I20" s="15" t="s">
        <v>252</v>
      </c>
      <c r="L20" s="18">
        <v>45924.0</v>
      </c>
    </row>
    <row r="21">
      <c r="A21" s="16">
        <v>45910.461386828705</v>
      </c>
      <c r="B21" s="15" t="s">
        <v>283</v>
      </c>
      <c r="C21" s="15" t="s">
        <v>284</v>
      </c>
      <c r="D21" s="15" t="s">
        <v>285</v>
      </c>
      <c r="E21" s="17">
        <v>30307.0</v>
      </c>
      <c r="F21" s="15" t="s">
        <v>286</v>
      </c>
      <c r="G21" s="15" t="s">
        <v>287</v>
      </c>
      <c r="H21" s="15" t="s">
        <v>25</v>
      </c>
      <c r="K21" s="15" t="s">
        <v>288</v>
      </c>
      <c r="L21" s="18">
        <v>45924.0</v>
      </c>
    </row>
    <row r="22">
      <c r="A22" s="16">
        <v>45911.307453194444</v>
      </c>
      <c r="B22" s="15" t="s">
        <v>243</v>
      </c>
      <c r="C22" s="15" t="s">
        <v>244</v>
      </c>
      <c r="D22" s="15" t="s">
        <v>245</v>
      </c>
      <c r="E22" s="17">
        <v>27731.0</v>
      </c>
      <c r="F22" s="15" t="s">
        <v>246</v>
      </c>
      <c r="G22" s="15" t="s">
        <v>247</v>
      </c>
      <c r="H22" s="15" t="s">
        <v>25</v>
      </c>
      <c r="K22" s="15" t="s">
        <v>192</v>
      </c>
      <c r="L22" s="18">
        <v>45924.0</v>
      </c>
    </row>
    <row r="23">
      <c r="A23" s="16">
        <v>45911.54819755787</v>
      </c>
      <c r="B23" s="15" t="s">
        <v>203</v>
      </c>
      <c r="C23" s="15" t="s">
        <v>204</v>
      </c>
      <c r="D23" s="15" t="s">
        <v>205</v>
      </c>
      <c r="E23" s="17">
        <v>26116.0</v>
      </c>
      <c r="F23" s="15" t="s">
        <v>206</v>
      </c>
      <c r="G23" s="15" t="s">
        <v>207</v>
      </c>
      <c r="H23" s="15" t="s">
        <v>25</v>
      </c>
      <c r="K23" s="15" t="s">
        <v>208</v>
      </c>
      <c r="L23" s="18">
        <v>45924.0</v>
      </c>
    </row>
    <row r="24">
      <c r="A24" s="16">
        <v>45912.43140075231</v>
      </c>
      <c r="B24" s="15" t="s">
        <v>294</v>
      </c>
      <c r="C24" s="15" t="s">
        <v>295</v>
      </c>
      <c r="D24" s="15" t="s">
        <v>296</v>
      </c>
      <c r="E24" s="17">
        <v>30578.0</v>
      </c>
      <c r="F24" s="15" t="s">
        <v>297</v>
      </c>
      <c r="G24" s="15" t="s">
        <v>160</v>
      </c>
      <c r="H24" s="15" t="s">
        <v>25</v>
      </c>
      <c r="K24" s="15" t="s">
        <v>298</v>
      </c>
      <c r="L24" s="18">
        <v>45924.0</v>
      </c>
    </row>
    <row r="25">
      <c r="A25" s="16">
        <v>45912.518075995366</v>
      </c>
      <c r="B25" s="15" t="s">
        <v>56</v>
      </c>
      <c r="C25" s="15" t="s">
        <v>57</v>
      </c>
      <c r="D25" s="15" t="s">
        <v>58</v>
      </c>
      <c r="E25" s="17">
        <v>29917.0</v>
      </c>
      <c r="F25" s="15" t="s">
        <v>59</v>
      </c>
      <c r="G25" s="15" t="s">
        <v>60</v>
      </c>
      <c r="H25" s="15" t="s">
        <v>18</v>
      </c>
      <c r="I25" s="15" t="s">
        <v>61</v>
      </c>
      <c r="J25" s="15" t="s">
        <v>62</v>
      </c>
      <c r="L25" s="18">
        <v>45924.0</v>
      </c>
    </row>
    <row r="26">
      <c r="A26" s="16">
        <v>45912.66448811343</v>
      </c>
      <c r="B26" s="15" t="s">
        <v>142</v>
      </c>
      <c r="C26" s="15" t="s">
        <v>143</v>
      </c>
      <c r="D26" s="15" t="s">
        <v>144</v>
      </c>
      <c r="E26" s="17">
        <v>32775.0</v>
      </c>
      <c r="F26" s="15" t="s">
        <v>145</v>
      </c>
      <c r="G26" s="15" t="s">
        <v>60</v>
      </c>
      <c r="H26" s="15" t="s">
        <v>25</v>
      </c>
      <c r="K26" s="15" t="s">
        <v>146</v>
      </c>
      <c r="L26" s="18">
        <v>45924.0</v>
      </c>
    </row>
    <row r="27">
      <c r="A27" s="16">
        <v>45914.65215039352</v>
      </c>
      <c r="B27" s="15" t="s">
        <v>124</v>
      </c>
      <c r="C27" s="15" t="s">
        <v>125</v>
      </c>
      <c r="D27" s="15" t="s">
        <v>126</v>
      </c>
      <c r="E27" s="17">
        <v>34708.0</v>
      </c>
      <c r="F27" s="15" t="s">
        <v>127</v>
      </c>
      <c r="G27" s="15" t="s">
        <v>60</v>
      </c>
      <c r="H27" s="15" t="s">
        <v>18</v>
      </c>
      <c r="I27" s="15" t="s">
        <v>128</v>
      </c>
      <c r="L27" s="18">
        <v>45924.0</v>
      </c>
    </row>
    <row r="28">
      <c r="A28" s="16">
        <v>45915.369859293976</v>
      </c>
      <c r="B28" s="15" t="s">
        <v>289</v>
      </c>
      <c r="C28" s="15" t="s">
        <v>290</v>
      </c>
      <c r="D28" s="15" t="s">
        <v>291</v>
      </c>
      <c r="E28" s="17">
        <v>30146.0</v>
      </c>
      <c r="F28" s="15" t="s">
        <v>292</v>
      </c>
      <c r="G28" s="15" t="s">
        <v>287</v>
      </c>
      <c r="H28" s="15" t="s">
        <v>18</v>
      </c>
      <c r="I28" s="15" t="s">
        <v>293</v>
      </c>
      <c r="L28" s="18">
        <v>45924.0</v>
      </c>
    </row>
    <row r="29">
      <c r="A29" s="16">
        <v>45916.68154635417</v>
      </c>
      <c r="B29" s="15" t="s">
        <v>27</v>
      </c>
      <c r="C29" s="15" t="s">
        <v>28</v>
      </c>
      <c r="D29" s="15" t="s">
        <v>29</v>
      </c>
      <c r="E29" s="17">
        <v>30535.0</v>
      </c>
      <c r="F29" s="15" t="s">
        <v>30</v>
      </c>
      <c r="G29" s="15" t="s">
        <v>31</v>
      </c>
      <c r="H29" s="15" t="s">
        <v>18</v>
      </c>
      <c r="I29" s="15" t="s">
        <v>32</v>
      </c>
      <c r="L29" s="18">
        <v>45924.0</v>
      </c>
    </row>
    <row r="30">
      <c r="A30" s="16">
        <v>45916.68595449074</v>
      </c>
      <c r="B30" s="15" t="s">
        <v>63</v>
      </c>
      <c r="C30" s="15" t="s">
        <v>64</v>
      </c>
      <c r="D30" s="15" t="s">
        <v>65</v>
      </c>
      <c r="E30" s="17">
        <v>31013.0</v>
      </c>
      <c r="F30" s="15" t="s">
        <v>66</v>
      </c>
      <c r="G30" s="15" t="s">
        <v>31</v>
      </c>
      <c r="H30" s="15" t="s">
        <v>25</v>
      </c>
      <c r="K30" s="15" t="s">
        <v>67</v>
      </c>
      <c r="L30" s="18">
        <v>45924.0</v>
      </c>
    </row>
    <row r="31">
      <c r="A31" s="16">
        <v>45916.68728625</v>
      </c>
      <c r="B31" s="15" t="s">
        <v>133</v>
      </c>
      <c r="C31" s="15" t="s">
        <v>134</v>
      </c>
      <c r="D31" s="15" t="s">
        <v>135</v>
      </c>
      <c r="E31" s="17">
        <v>38005.0</v>
      </c>
      <c r="F31" s="15" t="s">
        <v>136</v>
      </c>
      <c r="G31" s="15" t="s">
        <v>31</v>
      </c>
      <c r="H31" s="15" t="s">
        <v>18</v>
      </c>
      <c r="I31" s="15" t="s">
        <v>137</v>
      </c>
      <c r="L31" s="18">
        <v>45924.0</v>
      </c>
    </row>
    <row r="32">
      <c r="A32" s="16">
        <v>45916.69030792824</v>
      </c>
      <c r="B32" s="15" t="s">
        <v>101</v>
      </c>
      <c r="C32" s="15" t="s">
        <v>102</v>
      </c>
      <c r="D32" s="15" t="s">
        <v>103</v>
      </c>
      <c r="E32" s="17">
        <v>33507.0</v>
      </c>
      <c r="F32" s="15" t="s">
        <v>104</v>
      </c>
      <c r="G32" s="15" t="s">
        <v>31</v>
      </c>
      <c r="H32" s="15" t="s">
        <v>25</v>
      </c>
      <c r="K32" s="15" t="s">
        <v>105</v>
      </c>
      <c r="L32" s="18">
        <v>45924.0</v>
      </c>
    </row>
    <row r="33">
      <c r="A33" s="16">
        <v>45917.323728414354</v>
      </c>
      <c r="B33" s="15" t="s">
        <v>162</v>
      </c>
      <c r="C33" s="15" t="s">
        <v>163</v>
      </c>
      <c r="D33" s="15" t="s">
        <v>164</v>
      </c>
      <c r="E33" s="17">
        <v>24860.0</v>
      </c>
      <c r="F33" s="15" t="s">
        <v>165</v>
      </c>
      <c r="G33" s="15" t="s">
        <v>37</v>
      </c>
      <c r="H33" s="15" t="s">
        <v>18</v>
      </c>
      <c r="I33" s="15" t="s">
        <v>166</v>
      </c>
      <c r="L33" s="18">
        <v>45924.0</v>
      </c>
    </row>
    <row r="34">
      <c r="A34" s="16">
        <v>45919.583497314816</v>
      </c>
      <c r="B34" s="15" t="s">
        <v>227</v>
      </c>
      <c r="C34" s="15" t="s">
        <v>228</v>
      </c>
      <c r="D34" s="15" t="s">
        <v>229</v>
      </c>
      <c r="E34" s="17">
        <v>27939.0</v>
      </c>
      <c r="F34" s="15" t="s">
        <v>230</v>
      </c>
      <c r="G34" s="15" t="s">
        <v>37</v>
      </c>
      <c r="H34" s="15" t="s">
        <v>25</v>
      </c>
      <c r="K34" s="15" t="s">
        <v>231</v>
      </c>
      <c r="L34" s="18">
        <v>45924.0</v>
      </c>
    </row>
    <row r="35">
      <c r="A35" s="16">
        <v>45905.353797627315</v>
      </c>
      <c r="B35" s="15" t="s">
        <v>178</v>
      </c>
      <c r="C35" s="15" t="s">
        <v>179</v>
      </c>
      <c r="D35" s="15" t="s">
        <v>180</v>
      </c>
      <c r="E35" s="17">
        <v>27515.0</v>
      </c>
      <c r="F35" s="15" t="s">
        <v>181</v>
      </c>
      <c r="G35" s="15" t="s">
        <v>17</v>
      </c>
      <c r="H35" s="15" t="s">
        <v>18</v>
      </c>
      <c r="I35" s="15" t="s">
        <v>182</v>
      </c>
      <c r="L35" s="18">
        <v>45925.0</v>
      </c>
    </row>
    <row r="36">
      <c r="A36" s="16">
        <v>45905.70560439814</v>
      </c>
      <c r="B36" s="15" t="s">
        <v>215</v>
      </c>
      <c r="C36" s="15" t="s">
        <v>216</v>
      </c>
      <c r="D36" s="15" t="s">
        <v>217</v>
      </c>
      <c r="E36" s="17">
        <v>29615.0</v>
      </c>
      <c r="F36" s="15" t="s">
        <v>218</v>
      </c>
      <c r="G36" s="15" t="s">
        <v>219</v>
      </c>
      <c r="H36" s="15" t="s">
        <v>18</v>
      </c>
      <c r="I36" s="15" t="s">
        <v>220</v>
      </c>
      <c r="L36" s="18">
        <v>45925.0</v>
      </c>
    </row>
    <row r="37">
      <c r="A37" s="16">
        <v>45908.46889265046</v>
      </c>
      <c r="B37" s="15" t="s">
        <v>20</v>
      </c>
      <c r="C37" s="15" t="s">
        <v>21</v>
      </c>
      <c r="D37" s="15" t="s">
        <v>22</v>
      </c>
      <c r="E37" s="17">
        <v>31275.0</v>
      </c>
      <c r="F37" s="15" t="s">
        <v>48</v>
      </c>
      <c r="G37" s="15" t="s">
        <v>24</v>
      </c>
      <c r="H37" s="15" t="s">
        <v>25</v>
      </c>
      <c r="K37" s="15" t="s">
        <v>306</v>
      </c>
      <c r="L37" s="18">
        <v>45925.0</v>
      </c>
    </row>
    <row r="38">
      <c r="A38" s="16">
        <v>45908.474307743054</v>
      </c>
      <c r="B38" s="15" t="s">
        <v>20</v>
      </c>
      <c r="C38" s="15" t="s">
        <v>21</v>
      </c>
      <c r="D38" s="15" t="s">
        <v>22</v>
      </c>
      <c r="E38" s="17">
        <v>31275.0</v>
      </c>
      <c r="F38" s="15" t="s">
        <v>23</v>
      </c>
      <c r="G38" s="15" t="s">
        <v>24</v>
      </c>
      <c r="H38" s="15" t="s">
        <v>25</v>
      </c>
      <c r="K38" s="15" t="s">
        <v>26</v>
      </c>
      <c r="L38" s="18">
        <v>45925.0</v>
      </c>
    </row>
    <row r="39">
      <c r="A39" s="16">
        <v>45908.47576877315</v>
      </c>
      <c r="B39" s="15" t="s">
        <v>167</v>
      </c>
      <c r="C39" s="15" t="s">
        <v>168</v>
      </c>
      <c r="D39" s="15" t="s">
        <v>169</v>
      </c>
      <c r="E39" s="17">
        <v>25598.0</v>
      </c>
      <c r="F39" s="15" t="s">
        <v>170</v>
      </c>
      <c r="G39" s="15" t="s">
        <v>171</v>
      </c>
      <c r="H39" s="15" t="s">
        <v>18</v>
      </c>
      <c r="I39" s="15" t="s">
        <v>172</v>
      </c>
      <c r="L39" s="18">
        <v>45925.0</v>
      </c>
    </row>
    <row r="40">
      <c r="A40" s="16">
        <v>45908.47870146991</v>
      </c>
      <c r="B40" s="15" t="s">
        <v>45</v>
      </c>
      <c r="C40" s="15" t="s">
        <v>46</v>
      </c>
      <c r="D40" s="15" t="s">
        <v>47</v>
      </c>
      <c r="E40" s="17">
        <v>30150.0</v>
      </c>
      <c r="F40" s="15" t="s">
        <v>48</v>
      </c>
      <c r="G40" s="15" t="s">
        <v>24</v>
      </c>
      <c r="H40" s="15" t="s">
        <v>18</v>
      </c>
      <c r="I40" s="15" t="s">
        <v>49</v>
      </c>
      <c r="L40" s="18">
        <v>45925.0</v>
      </c>
    </row>
    <row r="41">
      <c r="A41" s="16">
        <v>45908.70808722222</v>
      </c>
      <c r="B41" s="15" t="s">
        <v>237</v>
      </c>
      <c r="C41" s="15" t="s">
        <v>238</v>
      </c>
      <c r="D41" s="15" t="s">
        <v>239</v>
      </c>
      <c r="E41" s="17">
        <v>27294.0</v>
      </c>
      <c r="F41" s="15" t="s">
        <v>240</v>
      </c>
      <c r="G41" s="15" t="s">
        <v>54</v>
      </c>
      <c r="H41" s="15" t="s">
        <v>18</v>
      </c>
      <c r="I41" s="15" t="s">
        <v>241</v>
      </c>
      <c r="J41" s="15" t="s">
        <v>242</v>
      </c>
      <c r="L41" s="18">
        <v>45925.0</v>
      </c>
    </row>
    <row r="42">
      <c r="A42" s="16">
        <v>45908.8918165162</v>
      </c>
      <c r="B42" s="15" t="s">
        <v>258</v>
      </c>
      <c r="C42" s="15" t="s">
        <v>259</v>
      </c>
      <c r="D42" s="15" t="s">
        <v>260</v>
      </c>
      <c r="E42" s="17" t="s">
        <v>261</v>
      </c>
      <c r="F42" s="15" t="s">
        <v>262</v>
      </c>
      <c r="G42" s="15" t="s">
        <v>54</v>
      </c>
      <c r="H42" s="15" t="s">
        <v>18</v>
      </c>
      <c r="I42" s="15" t="s">
        <v>263</v>
      </c>
      <c r="L42" s="18">
        <v>45925.0</v>
      </c>
    </row>
    <row r="43">
      <c r="A43" s="16">
        <v>45910.433530069444</v>
      </c>
      <c r="B43" s="15" t="s">
        <v>138</v>
      </c>
      <c r="C43" s="15" t="s">
        <v>139</v>
      </c>
      <c r="D43" s="15" t="s">
        <v>140</v>
      </c>
      <c r="E43" s="17">
        <v>26199.0</v>
      </c>
      <c r="F43" s="15" t="s">
        <v>141</v>
      </c>
      <c r="G43" s="15" t="s">
        <v>54</v>
      </c>
      <c r="H43" s="15" t="s">
        <v>25</v>
      </c>
      <c r="K43" s="15" t="s">
        <v>55</v>
      </c>
      <c r="L43" s="18">
        <v>45925.0</v>
      </c>
    </row>
    <row r="44">
      <c r="A44" s="16">
        <v>45910.56929018519</v>
      </c>
      <c r="B44" s="15" t="s">
        <v>193</v>
      </c>
      <c r="C44" s="15" t="s">
        <v>194</v>
      </c>
      <c r="D44" s="15" t="s">
        <v>195</v>
      </c>
      <c r="E44" s="17">
        <v>28425.0</v>
      </c>
      <c r="F44" s="15" t="s">
        <v>196</v>
      </c>
      <c r="G44" s="15" t="s">
        <v>81</v>
      </c>
      <c r="H44" s="15" t="s">
        <v>18</v>
      </c>
      <c r="I44" s="15" t="s">
        <v>172</v>
      </c>
      <c r="J44" s="15" t="s">
        <v>197</v>
      </c>
      <c r="L44" s="18">
        <v>45925.0</v>
      </c>
    </row>
    <row r="45">
      <c r="A45" s="16">
        <v>45910.57536025463</v>
      </c>
      <c r="B45" s="15" t="s">
        <v>77</v>
      </c>
      <c r="C45" s="15" t="s">
        <v>78</v>
      </c>
      <c r="D45" s="15" t="s">
        <v>79</v>
      </c>
      <c r="E45" s="17">
        <v>32006.0</v>
      </c>
      <c r="F45" s="15" t="s">
        <v>80</v>
      </c>
      <c r="G45" s="15" t="s">
        <v>81</v>
      </c>
      <c r="H45" s="15" t="s">
        <v>25</v>
      </c>
      <c r="K45" s="15" t="s">
        <v>82</v>
      </c>
      <c r="L45" s="18">
        <v>45925.0</v>
      </c>
    </row>
    <row r="46">
      <c r="A46" s="16">
        <v>45910.575863136575</v>
      </c>
      <c r="B46" s="15" t="s">
        <v>50</v>
      </c>
      <c r="C46" s="15" t="s">
        <v>51</v>
      </c>
      <c r="D46" s="15" t="s">
        <v>52</v>
      </c>
      <c r="E46" s="17">
        <v>31291.0</v>
      </c>
      <c r="F46" s="15" t="s">
        <v>53</v>
      </c>
      <c r="G46" s="15" t="s">
        <v>54</v>
      </c>
      <c r="H46" s="15" t="s">
        <v>25</v>
      </c>
      <c r="K46" s="15" t="s">
        <v>55</v>
      </c>
      <c r="L46" s="18">
        <v>45925.0</v>
      </c>
    </row>
    <row r="47">
      <c r="A47" s="16">
        <v>45910.600446655095</v>
      </c>
      <c r="B47" s="15" t="s">
        <v>13</v>
      </c>
      <c r="C47" s="15" t="s">
        <v>14</v>
      </c>
      <c r="D47" s="15" t="s">
        <v>15</v>
      </c>
      <c r="E47" s="17">
        <v>30577.0</v>
      </c>
      <c r="F47" s="15" t="s">
        <v>16</v>
      </c>
      <c r="G47" s="15" t="s">
        <v>17</v>
      </c>
      <c r="H47" s="15" t="s">
        <v>18</v>
      </c>
      <c r="I47" s="15" t="s">
        <v>19</v>
      </c>
      <c r="L47" s="18">
        <v>45925.0</v>
      </c>
    </row>
    <row r="48">
      <c r="A48" s="16">
        <v>45915.571089652774</v>
      </c>
      <c r="B48" s="15" t="s">
        <v>83</v>
      </c>
      <c r="C48" s="15" t="s">
        <v>84</v>
      </c>
      <c r="D48" s="15" t="s">
        <v>85</v>
      </c>
      <c r="E48" s="17">
        <v>32412.0</v>
      </c>
      <c r="F48" s="15" t="s">
        <v>86</v>
      </c>
      <c r="G48" s="15" t="s">
        <v>87</v>
      </c>
      <c r="H48" s="15" t="s">
        <v>18</v>
      </c>
      <c r="I48" s="15" t="s">
        <v>88</v>
      </c>
      <c r="L48" s="18">
        <v>45925.0</v>
      </c>
    </row>
    <row r="49">
      <c r="A49" s="16">
        <v>45917.360784756944</v>
      </c>
      <c r="B49" s="15" t="s">
        <v>89</v>
      </c>
      <c r="C49" s="15" t="s">
        <v>90</v>
      </c>
      <c r="D49" s="15" t="s">
        <v>91</v>
      </c>
      <c r="E49" s="17">
        <v>32481.0</v>
      </c>
      <c r="F49" s="15" t="s">
        <v>92</v>
      </c>
      <c r="G49" s="15" t="s">
        <v>93</v>
      </c>
      <c r="H49" s="15" t="s">
        <v>18</v>
      </c>
      <c r="I49" s="15" t="s">
        <v>94</v>
      </c>
      <c r="L49" s="18">
        <v>45925.0</v>
      </c>
    </row>
    <row r="50">
      <c r="A50" s="16">
        <v>45917.364332893514</v>
      </c>
      <c r="B50" s="15" t="s">
        <v>129</v>
      </c>
      <c r="C50" s="15" t="s">
        <v>130</v>
      </c>
      <c r="D50" s="15" t="s">
        <v>131</v>
      </c>
      <c r="E50" s="17">
        <v>34279.0</v>
      </c>
      <c r="F50" s="15" t="s">
        <v>132</v>
      </c>
      <c r="G50" s="15" t="s">
        <v>93</v>
      </c>
      <c r="H50" s="15" t="s">
        <v>25</v>
      </c>
      <c r="K50" s="15" t="s">
        <v>105</v>
      </c>
      <c r="L50" s="18">
        <v>45925.0</v>
      </c>
    </row>
    <row r="51">
      <c r="A51" s="16">
        <v>45917.4397052662</v>
      </c>
      <c r="B51" s="15" t="s">
        <v>278</v>
      </c>
      <c r="C51" s="15" t="s">
        <v>279</v>
      </c>
      <c r="D51" s="15" t="s">
        <v>280</v>
      </c>
      <c r="E51" s="17">
        <v>26740.0</v>
      </c>
      <c r="F51" s="15" t="s">
        <v>281</v>
      </c>
      <c r="G51" s="15" t="s">
        <v>225</v>
      </c>
      <c r="H51" s="15" t="s">
        <v>18</v>
      </c>
      <c r="I51" s="15" t="s">
        <v>282</v>
      </c>
      <c r="L51" s="18">
        <v>45925.0</v>
      </c>
    </row>
    <row r="52">
      <c r="A52" s="16">
        <v>45917.46902547454</v>
      </c>
      <c r="B52" s="15" t="s">
        <v>147</v>
      </c>
      <c r="C52" s="15" t="s">
        <v>148</v>
      </c>
      <c r="D52" s="15" t="s">
        <v>149</v>
      </c>
      <c r="E52" s="17">
        <v>22070.0</v>
      </c>
      <c r="F52" s="15" t="s">
        <v>150</v>
      </c>
      <c r="G52" s="15" t="s">
        <v>87</v>
      </c>
      <c r="H52" s="15" t="s">
        <v>25</v>
      </c>
      <c r="K52" s="15" t="s">
        <v>44</v>
      </c>
      <c r="L52" s="18">
        <v>45925.0</v>
      </c>
    </row>
    <row r="53">
      <c r="A53" s="16">
        <v>45918.64288033565</v>
      </c>
      <c r="B53" s="15" t="s">
        <v>72</v>
      </c>
      <c r="C53" s="15" t="s">
        <v>73</v>
      </c>
      <c r="D53" s="15" t="s">
        <v>74</v>
      </c>
      <c r="E53" s="17">
        <v>31683.0</v>
      </c>
      <c r="F53" s="15" t="s">
        <v>75</v>
      </c>
      <c r="G53" s="15" t="s">
        <v>54</v>
      </c>
      <c r="H53" s="15" t="s">
        <v>18</v>
      </c>
      <c r="I53" s="15" t="s">
        <v>76</v>
      </c>
      <c r="L53" s="18">
        <v>45925.0</v>
      </c>
    </row>
    <row r="54">
      <c r="A54" s="16">
        <v>45918.88637202546</v>
      </c>
      <c r="B54" s="15" t="s">
        <v>221</v>
      </c>
      <c r="C54" s="15" t="s">
        <v>222</v>
      </c>
      <c r="D54" s="15" t="s">
        <v>223</v>
      </c>
      <c r="E54" s="17">
        <v>27522.0</v>
      </c>
      <c r="F54" s="15" t="s">
        <v>224</v>
      </c>
      <c r="G54" s="15" t="s">
        <v>225</v>
      </c>
      <c r="H54" s="15" t="s">
        <v>18</v>
      </c>
      <c r="I54" s="15" t="s">
        <v>226</v>
      </c>
      <c r="L54" s="18">
        <v>45925.0</v>
      </c>
    </row>
    <row r="55">
      <c r="A55" s="16">
        <v>45919.36462025463</v>
      </c>
      <c r="B55" s="15" t="s">
        <v>232</v>
      </c>
      <c r="C55" s="15" t="s">
        <v>233</v>
      </c>
      <c r="D55" s="15" t="s">
        <v>234</v>
      </c>
      <c r="E55" s="17">
        <v>26967.0</v>
      </c>
      <c r="F55" s="15" t="s">
        <v>235</v>
      </c>
      <c r="G55" s="15" t="s">
        <v>225</v>
      </c>
      <c r="H55" s="15" t="s">
        <v>18</v>
      </c>
      <c r="I55" s="15" t="s">
        <v>236</v>
      </c>
      <c r="L55" s="18">
        <v>45925.0</v>
      </c>
    </row>
    <row r="56">
      <c r="A56" s="16">
        <v>45922.38950049768</v>
      </c>
      <c r="B56" s="15" t="s">
        <v>68</v>
      </c>
      <c r="C56" s="15" t="s">
        <v>69</v>
      </c>
      <c r="D56" s="15" t="s">
        <v>70</v>
      </c>
      <c r="E56" s="17">
        <v>31739.0</v>
      </c>
      <c r="F56" s="15" t="s">
        <v>71</v>
      </c>
      <c r="G56" s="15" t="s">
        <v>54</v>
      </c>
      <c r="H56" s="15" t="s">
        <v>25</v>
      </c>
      <c r="K56" s="15" t="s">
        <v>55</v>
      </c>
      <c r="L56" s="18">
        <v>45925.0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15" t="s">
        <v>307</v>
      </c>
      <c r="B1" s="15" t="s">
        <v>308</v>
      </c>
    </row>
    <row r="2">
      <c r="A2" s="15" t="s">
        <v>309</v>
      </c>
      <c r="B2" s="19">
        <v>45924.0</v>
      </c>
    </row>
    <row r="3">
      <c r="A3" s="15" t="s">
        <v>116</v>
      </c>
      <c r="B3" s="19">
        <v>45924.0</v>
      </c>
    </row>
    <row r="4">
      <c r="A4" s="15" t="s">
        <v>310</v>
      </c>
      <c r="B4" s="19">
        <v>45924.0</v>
      </c>
    </row>
    <row r="5">
      <c r="A5" s="15" t="s">
        <v>207</v>
      </c>
      <c r="B5" s="19">
        <v>45924.0</v>
      </c>
    </row>
    <row r="6">
      <c r="A6" s="15" t="s">
        <v>60</v>
      </c>
      <c r="B6" s="19">
        <v>45924.0</v>
      </c>
    </row>
    <row r="7">
      <c r="A7" s="15" t="s">
        <v>37</v>
      </c>
      <c r="B7" s="19">
        <v>45925.0</v>
      </c>
    </row>
    <row r="8">
      <c r="A8" s="15" t="s">
        <v>43</v>
      </c>
      <c r="B8" s="19">
        <v>45924.0</v>
      </c>
    </row>
    <row r="9">
      <c r="A9" s="15" t="s">
        <v>311</v>
      </c>
      <c r="B9" s="19">
        <v>45924.0</v>
      </c>
    </row>
    <row r="10">
      <c r="A10" s="15" t="s">
        <v>122</v>
      </c>
      <c r="B10" s="19">
        <v>45924.0</v>
      </c>
    </row>
    <row r="11">
      <c r="A11" s="15" t="s">
        <v>312</v>
      </c>
      <c r="B11" s="19">
        <v>45924.0</v>
      </c>
    </row>
    <row r="12">
      <c r="A12" s="15" t="s">
        <v>99</v>
      </c>
      <c r="B12" s="19">
        <v>45924.0</v>
      </c>
    </row>
    <row r="13">
      <c r="A13" s="15" t="s">
        <v>287</v>
      </c>
      <c r="B13" s="19">
        <v>45924.0</v>
      </c>
    </row>
    <row r="14">
      <c r="A14" s="15" t="s">
        <v>160</v>
      </c>
      <c r="B14" s="19">
        <v>45924.0</v>
      </c>
    </row>
    <row r="15">
      <c r="A15" s="15" t="s">
        <v>31</v>
      </c>
      <c r="B15" s="19">
        <v>45924.0</v>
      </c>
    </row>
    <row r="16">
      <c r="A16" s="15" t="s">
        <v>247</v>
      </c>
      <c r="B16" s="19">
        <v>45924.0</v>
      </c>
    </row>
    <row r="17">
      <c r="A17" s="15" t="s">
        <v>313</v>
      </c>
      <c r="B17" s="19">
        <v>45925.0</v>
      </c>
    </row>
    <row r="18">
      <c r="A18" s="15" t="s">
        <v>87</v>
      </c>
      <c r="B18" s="19">
        <v>45925.0</v>
      </c>
    </row>
    <row r="19">
      <c r="A19" s="15" t="s">
        <v>110</v>
      </c>
      <c r="B19" s="19">
        <v>45925.0</v>
      </c>
    </row>
    <row r="20">
      <c r="A20" s="15" t="s">
        <v>225</v>
      </c>
      <c r="B20" s="19">
        <v>45925.0</v>
      </c>
    </row>
    <row r="21">
      <c r="A21" s="15" t="s">
        <v>314</v>
      </c>
      <c r="B21" s="19">
        <v>45925.0</v>
      </c>
    </row>
    <row r="22">
      <c r="A22" s="15" t="s">
        <v>315</v>
      </c>
      <c r="B22" s="19">
        <v>45925.0</v>
      </c>
    </row>
    <row r="23">
      <c r="A23" s="15" t="s">
        <v>81</v>
      </c>
      <c r="B23" s="19">
        <v>45925.0</v>
      </c>
    </row>
    <row r="24">
      <c r="A24" s="15" t="s">
        <v>316</v>
      </c>
      <c r="B24" s="19">
        <v>45925.0</v>
      </c>
    </row>
    <row r="25">
      <c r="A25" s="15" t="s">
        <v>17</v>
      </c>
      <c r="B25" s="19">
        <v>45925.0</v>
      </c>
    </row>
    <row r="26">
      <c r="A26" s="15" t="s">
        <v>219</v>
      </c>
      <c r="B26" s="19">
        <v>45925.0</v>
      </c>
    </row>
    <row r="27">
      <c r="A27" s="15" t="s">
        <v>317</v>
      </c>
      <c r="B27" s="19">
        <v>45925.0</v>
      </c>
    </row>
    <row r="28">
      <c r="A28" s="15" t="s">
        <v>171</v>
      </c>
      <c r="B28" s="19">
        <v>45925.0</v>
      </c>
    </row>
    <row r="29">
      <c r="A29" s="15" t="s">
        <v>24</v>
      </c>
      <c r="B29" s="19">
        <v>45925.0</v>
      </c>
    </row>
    <row r="30">
      <c r="A30" s="15" t="s">
        <v>93</v>
      </c>
      <c r="B30" s="19">
        <v>45925.0</v>
      </c>
    </row>
    <row r="31">
      <c r="A31" s="15" t="s">
        <v>54</v>
      </c>
      <c r="B31" s="19">
        <v>45925.0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5.38"/>
    <col customWidth="1" min="4" max="4" width="13.25"/>
    <col customWidth="1" min="5" max="5" width="14.88"/>
    <col customWidth="1" min="9" max="9" width="97.75"/>
  </cols>
  <sheetData>
    <row r="1">
      <c r="A1" s="20" t="s">
        <v>318</v>
      </c>
      <c r="B1" s="21" t="s">
        <v>319</v>
      </c>
      <c r="C1" s="21" t="s">
        <v>320</v>
      </c>
      <c r="D1" s="22" t="s">
        <v>25</v>
      </c>
      <c r="E1" s="22" t="s">
        <v>18</v>
      </c>
      <c r="F1" s="23"/>
      <c r="G1" s="24"/>
      <c r="H1" s="15" t="s">
        <v>321</v>
      </c>
      <c r="I1" s="25" t="s">
        <v>322</v>
      </c>
    </row>
    <row r="2">
      <c r="A2" s="26"/>
      <c r="B2" s="27" t="s">
        <v>60</v>
      </c>
      <c r="C2" s="28"/>
      <c r="D2" s="29">
        <f>COUNTIFS('Respostas ao formulário 1'!$H$2:$H$121,$D$1,'Respostas ao formulário 1'!$G$2:$G$121,$B2)</f>
        <v>1</v>
      </c>
      <c r="E2" s="29">
        <f>COUNTIFS('Respostas ao formulário 1'!$H$2:$H$121,$E$1,'Respostas ao formulário 1'!$G$2:$G$121,$B2)</f>
        <v>2</v>
      </c>
      <c r="F2" s="23"/>
      <c r="G2" s="30" t="str">
        <f t="shared" ref="G2:G31" si="1">CONCATENATE(D2, "/", E2)</f>
        <v>1/2</v>
      </c>
      <c r="H2" s="15" t="s">
        <v>323</v>
      </c>
      <c r="I2" s="15" t="s">
        <v>324</v>
      </c>
    </row>
    <row r="3">
      <c r="A3" s="26"/>
      <c r="B3" s="27" t="s">
        <v>313</v>
      </c>
      <c r="C3" s="28"/>
      <c r="D3" s="29">
        <f>COUNTIFS('Respostas ao formulário 1'!$H$2:$H$121,$D$1,'Respostas ao formulário 1'!$G$2:$G$121,$B3)</f>
        <v>0</v>
      </c>
      <c r="E3" s="29">
        <f>COUNTIFS('Respostas ao formulário 1'!$H$2:$H$121,$E$1,'Respostas ao formulário 1'!$G$2:$G$121,$B3)</f>
        <v>0</v>
      </c>
      <c r="F3" s="23"/>
      <c r="G3" s="30" t="str">
        <f t="shared" si="1"/>
        <v>0/0</v>
      </c>
      <c r="H3" s="15" t="s">
        <v>323</v>
      </c>
      <c r="I3" s="15" t="s">
        <v>325</v>
      </c>
    </row>
    <row r="4">
      <c r="A4" s="26"/>
      <c r="B4" s="31" t="s">
        <v>309</v>
      </c>
      <c r="C4" s="28"/>
      <c r="D4" s="29">
        <f>COUNTIFS('Respostas ao formulário 1'!$H$2:$H$121,$D$1,'Respostas ao formulário 1'!$G$2:$G$121,$B4)</f>
        <v>0</v>
      </c>
      <c r="E4" s="29">
        <f>COUNTIFS('Respostas ao formulário 1'!$H$2:$H$121,$E$1,'Respostas ao formulário 1'!$G$2:$G$121,$B4)</f>
        <v>0</v>
      </c>
      <c r="F4" s="23"/>
      <c r="G4" s="30" t="str">
        <f t="shared" si="1"/>
        <v>0/0</v>
      </c>
      <c r="H4" s="15" t="s">
        <v>323</v>
      </c>
      <c r="I4" s="15" t="s">
        <v>326</v>
      </c>
    </row>
    <row r="5">
      <c r="A5" s="26"/>
      <c r="B5" s="27" t="s">
        <v>87</v>
      </c>
      <c r="C5" s="28"/>
      <c r="D5" s="29">
        <f>COUNTIFS('Respostas ao formulário 1'!$H$2:$H$121,$D$1,'Respostas ao formulário 1'!$G$2:$G$121,$B5)</f>
        <v>1</v>
      </c>
      <c r="E5" s="29">
        <f>COUNTIFS('Respostas ao formulário 1'!$H$2:$H$121,$E$1,'Respostas ao formulário 1'!$G$2:$G$121,$B5)</f>
        <v>1</v>
      </c>
      <c r="F5" s="23"/>
      <c r="G5" s="30" t="str">
        <f t="shared" si="1"/>
        <v>1/1</v>
      </c>
      <c r="H5" s="15" t="s">
        <v>323</v>
      </c>
      <c r="I5" s="15" t="s">
        <v>324</v>
      </c>
      <c r="J5" s="15" t="s">
        <v>327</v>
      </c>
    </row>
    <row r="6">
      <c r="A6" s="26"/>
      <c r="B6" s="27" t="s">
        <v>116</v>
      </c>
      <c r="C6" s="28"/>
      <c r="D6" s="29">
        <f>COUNTIFS('Respostas ao formulário 1'!$H$2:$H$121,$D$1,'Respostas ao formulário 1'!$G$2:$G$121,$B6)</f>
        <v>1</v>
      </c>
      <c r="E6" s="29">
        <f>COUNTIFS('Respostas ao formulário 1'!$H$2:$H$121,$E$1,'Respostas ao formulário 1'!$G$2:$G$121,$B6)</f>
        <v>2</v>
      </c>
      <c r="F6" s="23"/>
      <c r="G6" s="30" t="str">
        <f t="shared" si="1"/>
        <v>1/2</v>
      </c>
      <c r="H6" s="15" t="s">
        <v>323</v>
      </c>
      <c r="I6" s="15" t="s">
        <v>324</v>
      </c>
    </row>
    <row r="7">
      <c r="A7" s="26"/>
      <c r="B7" s="31" t="s">
        <v>110</v>
      </c>
      <c r="C7" s="28"/>
      <c r="D7" s="29">
        <f>COUNTIFS('Respostas ao formulário 1'!$H$2:$H$121,$D$1,'Respostas ao formulário 1'!$G$2:$G$121,$B7)</f>
        <v>0</v>
      </c>
      <c r="E7" s="29">
        <f>COUNTIFS('Respostas ao formulário 1'!$H$2:$H$121,$E$1,'Respostas ao formulário 1'!$G$2:$G$121,$B7)</f>
        <v>1</v>
      </c>
      <c r="F7" s="23"/>
      <c r="G7" s="30" t="str">
        <f t="shared" si="1"/>
        <v>0/1</v>
      </c>
      <c r="H7" s="15" t="s">
        <v>323</v>
      </c>
      <c r="I7" s="15" t="s">
        <v>326</v>
      </c>
      <c r="J7" s="32" t="s">
        <v>328</v>
      </c>
    </row>
    <row r="8">
      <c r="A8" s="26"/>
      <c r="B8" s="31" t="s">
        <v>310</v>
      </c>
      <c r="C8" s="28"/>
      <c r="D8" s="29">
        <f>COUNTIFS('Respostas ao formulário 1'!$H$2:$H$121,$D$1,'Respostas ao formulário 1'!$G$2:$G$121,$B8)</f>
        <v>0</v>
      </c>
      <c r="E8" s="29">
        <f>COUNTIFS('Respostas ao formulário 1'!$H$2:$H$121,$E$1,'Respostas ao formulário 1'!$G$2:$G$121,$B8)</f>
        <v>0</v>
      </c>
      <c r="F8" s="23"/>
      <c r="G8" s="30" t="str">
        <f t="shared" si="1"/>
        <v>0/0</v>
      </c>
      <c r="H8" s="15" t="s">
        <v>323</v>
      </c>
      <c r="I8" s="15" t="s">
        <v>326</v>
      </c>
      <c r="J8" s="32" t="s">
        <v>329</v>
      </c>
    </row>
    <row r="9">
      <c r="A9" s="26"/>
      <c r="B9" s="27" t="s">
        <v>225</v>
      </c>
      <c r="C9" s="28"/>
      <c r="D9" s="29">
        <f>COUNTIFS('Respostas ao formulário 1'!$H$2:$H$121,$D$1,'Respostas ao formulário 1'!$G$2:$G$121,$B9)</f>
        <v>0</v>
      </c>
      <c r="E9" s="29">
        <f>COUNTIFS('Respostas ao formulário 1'!$H$2:$H$121,$E$1,'Respostas ao formulário 1'!$G$2:$G$121,$B9)</f>
        <v>3</v>
      </c>
      <c r="F9" s="23"/>
      <c r="G9" s="30" t="str">
        <f t="shared" si="1"/>
        <v>0/3</v>
      </c>
      <c r="H9" s="15" t="s">
        <v>323</v>
      </c>
      <c r="I9" s="15" t="s">
        <v>324</v>
      </c>
    </row>
    <row r="10">
      <c r="A10" s="26"/>
      <c r="B10" s="31" t="s">
        <v>314</v>
      </c>
      <c r="C10" s="28"/>
      <c r="D10" s="29">
        <f>COUNTIFS('Respostas ao formulário 1'!$H$2:$H$121,$D$1,'Respostas ao formulário 1'!$G$2:$G$121,$B10)</f>
        <v>0</v>
      </c>
      <c r="E10" s="29">
        <f>COUNTIFS('Respostas ao formulário 1'!$H$2:$H$121,$E$1,'Respostas ao formulário 1'!$G$2:$G$121,$B10)</f>
        <v>0</v>
      </c>
      <c r="F10" s="23"/>
      <c r="G10" s="30" t="str">
        <f t="shared" si="1"/>
        <v>0/0</v>
      </c>
      <c r="H10" s="15" t="s">
        <v>323</v>
      </c>
      <c r="I10" s="15" t="s">
        <v>326</v>
      </c>
      <c r="J10" s="32" t="s">
        <v>330</v>
      </c>
    </row>
    <row r="11">
      <c r="A11" s="26"/>
      <c r="B11" s="31" t="s">
        <v>37</v>
      </c>
      <c r="C11" s="28"/>
      <c r="D11" s="29">
        <f>COUNTIFS('Respostas ao formulário 1'!$H$2:$H$121,$D$1,'Respostas ao formulário 1'!$G$2:$G$121,$B11)</f>
        <v>1</v>
      </c>
      <c r="E11" s="29">
        <f>COUNTIFS('Respostas ao formulário 1'!$H$2:$H$121,$E$1,'Respostas ao formulário 1'!$G$2:$G$121,$B11)</f>
        <v>2</v>
      </c>
      <c r="F11" s="23"/>
      <c r="G11" s="30" t="str">
        <f t="shared" si="1"/>
        <v>1/2</v>
      </c>
      <c r="H11" s="15" t="s">
        <v>323</v>
      </c>
      <c r="I11" s="15" t="s">
        <v>324</v>
      </c>
    </row>
    <row r="12">
      <c r="A12" s="26"/>
      <c r="B12" s="31" t="s">
        <v>43</v>
      </c>
      <c r="C12" s="28"/>
      <c r="D12" s="33">
        <f>COUNTIFS('Respostas ao formulário 1'!$H$2:$H$121,$D$1,'Respostas ao formulário 1'!$G$2:$G$121,$B12)</f>
        <v>1</v>
      </c>
      <c r="E12" s="33">
        <f>COUNTIFS('Respostas ao formulário 1'!$H$2:$H$121,$E$1,'Respostas ao formulário 1'!$G$2:$G$121,$B12)</f>
        <v>2</v>
      </c>
      <c r="F12" s="34"/>
      <c r="G12" s="35" t="str">
        <f t="shared" si="1"/>
        <v>1/2</v>
      </c>
      <c r="H12" s="36" t="s">
        <v>331</v>
      </c>
      <c r="I12" s="15" t="s">
        <v>324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8"/>
      <c r="B13" s="39" t="s">
        <v>311</v>
      </c>
      <c r="C13" s="40"/>
      <c r="D13" s="41">
        <f>COUNTIFS('Respostas ao formulário 1'!$H$2:$H$121,$D$1,'Respostas ao formulário 1'!$G$2:$G$121,$B13)</f>
        <v>0</v>
      </c>
      <c r="E13" s="41">
        <f>COUNTIFS('Respostas ao formulário 1'!$H$2:$H$121,$E$1,'Respostas ao formulário 1'!$G$2:$G$121,$B13)</f>
        <v>0</v>
      </c>
      <c r="F13" s="42"/>
      <c r="G13" s="43" t="str">
        <f t="shared" si="1"/>
        <v>0/0</v>
      </c>
      <c r="H13" s="44" t="s">
        <v>331</v>
      </c>
      <c r="I13" s="44" t="s">
        <v>326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26"/>
      <c r="B14" s="31" t="s">
        <v>122</v>
      </c>
      <c r="C14" s="28"/>
      <c r="D14" s="29">
        <f>COUNTIFS('Respostas ao formulário 1'!$H$2:$H$121,$D$1,'Respostas ao formulário 1'!$G$2:$G$121,$B14)</f>
        <v>2</v>
      </c>
      <c r="E14" s="29">
        <f>COUNTIFS('Respostas ao formulário 1'!$H$2:$H$121,$E$1,'Respostas ao formulário 1'!$G$2:$G$121,$B14)</f>
        <v>2</v>
      </c>
      <c r="F14" s="34"/>
      <c r="G14" s="35" t="str">
        <f t="shared" si="1"/>
        <v>2/2</v>
      </c>
      <c r="H14" s="36" t="s">
        <v>331</v>
      </c>
      <c r="I14" s="36" t="s">
        <v>322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8"/>
      <c r="B15" s="39" t="s">
        <v>312</v>
      </c>
      <c r="C15" s="40"/>
      <c r="D15" s="41">
        <f>COUNTIFS('Respostas ao formulário 1'!$H$2:$H$121,$D$1,'Respostas ao formulário 1'!$G$2:$G$121,$B15)</f>
        <v>0</v>
      </c>
      <c r="E15" s="41">
        <f>COUNTIFS('Respostas ao formulário 1'!$H$2:$H$121,$E$1,'Respostas ao formulário 1'!$G$2:$G$121,$B15)</f>
        <v>0</v>
      </c>
      <c r="F15" s="42"/>
      <c r="G15" s="43" t="str">
        <f t="shared" si="1"/>
        <v>0/0</v>
      </c>
      <c r="H15" s="44" t="s">
        <v>331</v>
      </c>
      <c r="I15" s="44" t="s">
        <v>326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38"/>
      <c r="B16" s="39" t="s">
        <v>315</v>
      </c>
      <c r="C16" s="40"/>
      <c r="D16" s="41">
        <f>COUNTIFS('Respostas ao formulário 1'!$H$2:$H$121,$D$1,'Respostas ao formulário 1'!$G$2:$G$121,$B16)</f>
        <v>0</v>
      </c>
      <c r="E16" s="41">
        <f>COUNTIFS('Respostas ao formulário 1'!$H$2:$H$121,$E$1,'Respostas ao formulário 1'!$G$2:$G$121,$B16)</f>
        <v>0</v>
      </c>
      <c r="F16" s="42"/>
      <c r="G16" s="43" t="str">
        <f t="shared" si="1"/>
        <v>0/0</v>
      </c>
      <c r="H16" s="44" t="s">
        <v>331</v>
      </c>
      <c r="I16" s="44" t="s">
        <v>326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38"/>
      <c r="B17" s="39" t="s">
        <v>81</v>
      </c>
      <c r="C17" s="40"/>
      <c r="D17" s="41">
        <f>COUNTIFS('Respostas ao formulário 1'!$H$2:$H$121,$D$1,'Respostas ao formulário 1'!$G$2:$G$121,$B17)</f>
        <v>1</v>
      </c>
      <c r="E17" s="41">
        <f>COUNTIFS('Respostas ao formulário 1'!$H$2:$H$121,$E$1,'Respostas ao formulário 1'!$G$2:$G$121,$B17)</f>
        <v>1</v>
      </c>
      <c r="F17" s="42"/>
      <c r="G17" s="43" t="str">
        <f t="shared" si="1"/>
        <v>1/1</v>
      </c>
      <c r="H17" s="44" t="s">
        <v>331</v>
      </c>
      <c r="I17" s="44" t="s">
        <v>326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26"/>
      <c r="B18" s="31" t="s">
        <v>207</v>
      </c>
      <c r="C18" s="28"/>
      <c r="D18" s="29">
        <f>COUNTIFS('Respostas ao formulário 1'!$H$2:$H$121,$D$1,'Respostas ao formulário 1'!$G$2:$G$121,$B18)</f>
        <v>1</v>
      </c>
      <c r="E18" s="29">
        <f>COUNTIFS('Respostas ao formulário 1'!$H$2:$H$121,$E$1,'Respostas ao formulário 1'!$G$2:$G$121,$B18)</f>
        <v>1</v>
      </c>
      <c r="F18" s="23"/>
      <c r="G18" s="30" t="str">
        <f t="shared" si="1"/>
        <v>1/1</v>
      </c>
      <c r="H18" s="15" t="s">
        <v>331</v>
      </c>
      <c r="I18" s="15" t="s">
        <v>324</v>
      </c>
    </row>
    <row r="19">
      <c r="A19" s="38"/>
      <c r="B19" s="39" t="s">
        <v>316</v>
      </c>
      <c r="C19" s="40"/>
      <c r="D19" s="41">
        <f>COUNTIFS('Respostas ao formulário 1'!$H$2:$H$121,$D$1,'Respostas ao formulário 1'!$G$2:$G$121,$B19)</f>
        <v>0</v>
      </c>
      <c r="E19" s="41">
        <f>COUNTIFS('Respostas ao formulário 1'!$H$2:$H$121,$E$1,'Respostas ao formulário 1'!$G$2:$G$121,$B19)</f>
        <v>0</v>
      </c>
      <c r="F19" s="42"/>
      <c r="G19" s="43" t="str">
        <f t="shared" si="1"/>
        <v>0/0</v>
      </c>
      <c r="H19" s="44" t="s">
        <v>331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26"/>
      <c r="B20" s="31" t="s">
        <v>17</v>
      </c>
      <c r="C20" s="28"/>
      <c r="D20" s="29">
        <f>COUNTIFS('Respostas ao formulário 1'!$H$2:$H$121,$D$1,'Respostas ao formulário 1'!$G$2:$G$121,$B20)</f>
        <v>0</v>
      </c>
      <c r="E20" s="29">
        <f>COUNTIFS('Respostas ao formulário 1'!$H$2:$H$121,$E$1,'Respostas ao formulário 1'!$G$2:$G$121,$B20)</f>
        <v>2</v>
      </c>
      <c r="F20" s="23"/>
      <c r="G20" s="30" t="str">
        <f t="shared" si="1"/>
        <v>0/2</v>
      </c>
      <c r="H20" s="15" t="s">
        <v>331</v>
      </c>
      <c r="I20" s="15" t="s">
        <v>324</v>
      </c>
    </row>
    <row r="21">
      <c r="A21" s="26"/>
      <c r="B21" s="31" t="s">
        <v>219</v>
      </c>
      <c r="C21" s="28"/>
      <c r="D21" s="29">
        <f>COUNTIFS('Respostas ao formulário 1'!$H$2:$H$121,$D$1,'Respostas ao formulário 1'!$G$2:$G$121,$B21)</f>
        <v>0</v>
      </c>
      <c r="E21" s="29">
        <f>COUNTIFS('Respostas ao formulário 1'!$H$2:$H$121,$E$1,'Respostas ao formulário 1'!$G$2:$G$121,$B21)</f>
        <v>1</v>
      </c>
      <c r="F21" s="23"/>
      <c r="G21" s="30" t="str">
        <f t="shared" si="1"/>
        <v>0/1</v>
      </c>
      <c r="H21" s="15" t="s">
        <v>331</v>
      </c>
      <c r="I21" s="15" t="s">
        <v>324</v>
      </c>
    </row>
    <row r="22">
      <c r="A22" s="26"/>
      <c r="B22" s="31" t="s">
        <v>99</v>
      </c>
      <c r="C22" s="28"/>
      <c r="D22" s="29">
        <f>COUNTIFS('Respostas ao formulário 1'!$H$2:$H$121,$D$1,'Respostas ao formulário 1'!$G$2:$G$121,$B22)</f>
        <v>2</v>
      </c>
      <c r="E22" s="29">
        <f>COUNTIFS('Respostas ao formulário 1'!$H$2:$H$121,$E$1,'Respostas ao formulário 1'!$G$2:$G$121,$B22)</f>
        <v>2</v>
      </c>
      <c r="F22" s="23"/>
      <c r="G22" s="30" t="str">
        <f t="shared" si="1"/>
        <v>2/2</v>
      </c>
      <c r="H22" s="15" t="s">
        <v>332</v>
      </c>
      <c r="I22" s="15" t="s">
        <v>333</v>
      </c>
    </row>
    <row r="23">
      <c r="A23" s="26"/>
      <c r="B23" s="31" t="s">
        <v>287</v>
      </c>
      <c r="C23" s="28"/>
      <c r="D23" s="29">
        <f>COUNTIFS('Respostas ao formulário 1'!$H$2:$H$121,$D$1,'Respostas ao formulário 1'!$G$2:$G$121,$B23)</f>
        <v>1</v>
      </c>
      <c r="E23" s="29">
        <f>COUNTIFS('Respostas ao formulário 1'!$H$2:$H$121,$E$1,'Respostas ao formulário 1'!$G$2:$G$121,$B23)</f>
        <v>1</v>
      </c>
      <c r="F23" s="23"/>
      <c r="G23" s="30" t="str">
        <f t="shared" si="1"/>
        <v>1/1</v>
      </c>
      <c r="H23" s="15" t="s">
        <v>332</v>
      </c>
      <c r="I23" s="15" t="s">
        <v>334</v>
      </c>
    </row>
    <row r="24">
      <c r="A24" s="26"/>
      <c r="B24" s="31" t="s">
        <v>160</v>
      </c>
      <c r="C24" s="28"/>
      <c r="D24" s="29">
        <f>COUNTIFS('Respostas ao formulário 1'!$H$2:$H$121,$D$1,'Respostas ao formulário 1'!$G$2:$G$121,$B24)</f>
        <v>1</v>
      </c>
      <c r="E24" s="29">
        <f>COUNTIFS('Respostas ao formulário 1'!$H$2:$H$121,$E$1,'Respostas ao formulário 1'!$G$2:$G$121,$B24)</f>
        <v>1</v>
      </c>
      <c r="F24" s="23"/>
      <c r="G24" s="30" t="str">
        <f t="shared" si="1"/>
        <v>1/1</v>
      </c>
      <c r="H24" s="15" t="s">
        <v>332</v>
      </c>
    </row>
    <row r="25">
      <c r="A25" s="26"/>
      <c r="B25" s="31" t="s">
        <v>31</v>
      </c>
      <c r="C25" s="28"/>
      <c r="D25" s="29">
        <f>COUNTIFS('Respostas ao formulário 1'!$H$2:$H$121,$D$1,'Respostas ao formulário 1'!$G$2:$G$121,$B25)</f>
        <v>2</v>
      </c>
      <c r="E25" s="29">
        <f>COUNTIFS('Respostas ao formulário 1'!$H$2:$H$121,$E$1,'Respostas ao formulário 1'!$G$2:$G$121,$B25)</f>
        <v>2</v>
      </c>
      <c r="F25" s="23"/>
      <c r="G25" s="30" t="str">
        <f t="shared" si="1"/>
        <v>2/2</v>
      </c>
      <c r="H25" s="15" t="s">
        <v>332</v>
      </c>
      <c r="I25" s="15" t="s">
        <v>335</v>
      </c>
    </row>
    <row r="26">
      <c r="A26" s="26"/>
      <c r="B26" s="31" t="s">
        <v>247</v>
      </c>
      <c r="C26" s="28"/>
      <c r="D26" s="29">
        <f>COUNTIFS('Respostas ao formulário 1'!$H$2:$H$121,$D$1,'Respostas ao formulário 1'!$G$2:$G$121,$B26)</f>
        <v>1</v>
      </c>
      <c r="E26" s="29">
        <f>COUNTIFS('Respostas ao formulário 1'!$H$2:$H$121,$E$1,'Respostas ao formulário 1'!$G$2:$G$121,$B26)</f>
        <v>1</v>
      </c>
      <c r="F26" s="23"/>
      <c r="G26" s="30" t="str">
        <f t="shared" si="1"/>
        <v>1/1</v>
      </c>
      <c r="H26" s="15" t="s">
        <v>332</v>
      </c>
      <c r="I26" s="15" t="s">
        <v>336</v>
      </c>
    </row>
    <row r="27">
      <c r="A27" s="26"/>
      <c r="B27" s="31" t="s">
        <v>317</v>
      </c>
      <c r="C27" s="28"/>
      <c r="D27" s="29">
        <f>COUNTIFS('Respostas ao formulário 1'!$H$2:$H$121,$D$1,'Respostas ao formulário 1'!$G$2:$G$121,$B27)</f>
        <v>0</v>
      </c>
      <c r="E27" s="29">
        <f>COUNTIFS('Respostas ao formulário 1'!$H$2:$H$121,$E$1,'Respostas ao formulário 1'!$G$2:$G$121,$B27)</f>
        <v>0</v>
      </c>
      <c r="F27" s="23"/>
      <c r="G27" s="30" t="str">
        <f t="shared" si="1"/>
        <v>0/0</v>
      </c>
      <c r="H27" s="15" t="s">
        <v>332</v>
      </c>
      <c r="I27" s="15" t="s">
        <v>337</v>
      </c>
    </row>
    <row r="28">
      <c r="A28" s="26"/>
      <c r="B28" s="31" t="s">
        <v>171</v>
      </c>
      <c r="C28" s="28"/>
      <c r="D28" s="29">
        <f>COUNTIFS('Respostas ao formulário 1'!$H$2:$H$121,$D$1,'Respostas ao formulário 1'!$G$2:$G$121,$B28)</f>
        <v>0</v>
      </c>
      <c r="E28" s="29">
        <f>COUNTIFS('Respostas ao formulário 1'!$H$2:$H$121,$E$1,'Respostas ao formulário 1'!$G$2:$G$121,$B28)</f>
        <v>1</v>
      </c>
      <c r="F28" s="23"/>
      <c r="G28" s="30" t="str">
        <f t="shared" si="1"/>
        <v>0/1</v>
      </c>
      <c r="H28" s="15" t="s">
        <v>332</v>
      </c>
      <c r="I28" s="15" t="s">
        <v>338</v>
      </c>
    </row>
    <row r="29">
      <c r="A29" s="26"/>
      <c r="B29" s="31" t="s">
        <v>24</v>
      </c>
      <c r="C29" s="28"/>
      <c r="D29" s="29">
        <f>COUNTIFS('Respostas ao formulário 1'!$H$2:$H$121,$D$1,'Respostas ao formulário 1'!$G$2:$G$121,$B29)</f>
        <v>1</v>
      </c>
      <c r="E29" s="29">
        <f>COUNTIFS('Respostas ao formulário 1'!$H$2:$H$121,$E$1,'Respostas ao formulário 1'!$G$2:$G$121,$B29)</f>
        <v>1</v>
      </c>
      <c r="F29" s="23"/>
      <c r="G29" s="30" t="str">
        <f t="shared" si="1"/>
        <v>1/1</v>
      </c>
      <c r="H29" s="15" t="s">
        <v>332</v>
      </c>
    </row>
    <row r="30">
      <c r="A30" s="26"/>
      <c r="B30" s="31" t="s">
        <v>93</v>
      </c>
      <c r="C30" s="28"/>
      <c r="D30" s="29">
        <f>COUNTIFS('Respostas ao formulário 1'!$H$2:$H$121,$D$1,'Respostas ao formulário 1'!$G$2:$G$121,$B30)</f>
        <v>1</v>
      </c>
      <c r="E30" s="29">
        <f>COUNTIFS('Respostas ao formulário 1'!$H$2:$H$121,$E$1,'Respostas ao formulário 1'!$G$2:$G$121,$B30)</f>
        <v>1</v>
      </c>
      <c r="F30" s="23"/>
      <c r="G30" s="30" t="str">
        <f t="shared" si="1"/>
        <v>1/1</v>
      </c>
      <c r="H30" s="15" t="s">
        <v>332</v>
      </c>
      <c r="I30" s="15" t="s">
        <v>333</v>
      </c>
    </row>
    <row r="31">
      <c r="A31" s="26"/>
      <c r="B31" s="31" t="s">
        <v>54</v>
      </c>
      <c r="C31" s="28"/>
      <c r="D31" s="29">
        <f>COUNTIFS('Respostas ao formulário 1'!$H$2:$H$121,$D$1,'Respostas ao formulário 1'!$G$2:$G$121,$B31)</f>
        <v>3</v>
      </c>
      <c r="E31" s="29">
        <f>COUNTIFS('Respostas ao formulário 1'!$H$2:$H$121,$E$1,'Respostas ao formulário 1'!$G$2:$G$121,$B31)</f>
        <v>3</v>
      </c>
      <c r="F31" s="23"/>
      <c r="G31" s="30" t="str">
        <f t="shared" si="1"/>
        <v>3/3</v>
      </c>
      <c r="H31" s="15" t="s">
        <v>332</v>
      </c>
      <c r="I31" s="15" t="s">
        <v>339</v>
      </c>
    </row>
    <row r="32">
      <c r="A32" s="23"/>
      <c r="B32" s="23"/>
      <c r="C32" s="23"/>
      <c r="D32" s="23"/>
      <c r="E32" s="23"/>
      <c r="F32" s="23"/>
      <c r="G32" s="24"/>
    </row>
    <row r="33">
      <c r="A33" s="23"/>
      <c r="B33" s="23"/>
      <c r="C33" s="23"/>
      <c r="D33" s="23"/>
      <c r="E33" s="23"/>
      <c r="F33" s="23"/>
      <c r="G33" s="24"/>
    </row>
    <row r="34">
      <c r="A34" s="23"/>
      <c r="B34" s="23"/>
      <c r="C34" s="23"/>
      <c r="D34" s="46" t="s">
        <v>340</v>
      </c>
      <c r="E34" s="46" t="s">
        <v>18</v>
      </c>
      <c r="F34" s="23"/>
      <c r="G34" s="24"/>
    </row>
    <row r="35">
      <c r="A35" s="47" t="s">
        <v>341</v>
      </c>
      <c r="B35" s="48"/>
      <c r="C35" s="49"/>
      <c r="D35" s="33">
        <f t="shared" ref="D35:E35" si="2">COUNTIF(D2:D31,"&gt;0")</f>
        <v>16</v>
      </c>
      <c r="E35" s="33">
        <f t="shared" si="2"/>
        <v>21</v>
      </c>
      <c r="F35" s="23"/>
      <c r="G35" s="24"/>
    </row>
    <row r="36">
      <c r="A36" s="47" t="s">
        <v>342</v>
      </c>
      <c r="B36" s="48"/>
      <c r="C36" s="49"/>
      <c r="D36" s="33">
        <f t="shared" ref="D36:E36" si="3">SUM(D2:D31)</f>
        <v>21</v>
      </c>
      <c r="E36" s="33">
        <f t="shared" si="3"/>
        <v>33</v>
      </c>
      <c r="F36" s="23"/>
      <c r="G36" s="24"/>
    </row>
    <row r="37">
      <c r="A37" s="24"/>
      <c r="B37" s="24"/>
      <c r="C37" s="24"/>
      <c r="D37" s="24"/>
      <c r="E37" s="24"/>
      <c r="F37" s="24"/>
      <c r="G37" s="24"/>
    </row>
    <row r="38">
      <c r="A38" s="24"/>
      <c r="B38" s="24"/>
      <c r="C38" s="24"/>
      <c r="D38" s="24"/>
      <c r="E38" s="24"/>
      <c r="F38" s="24"/>
      <c r="G38" s="24"/>
    </row>
  </sheetData>
  <mergeCells count="2">
    <mergeCell ref="A35:C35"/>
    <mergeCell ref="A36:C36"/>
  </mergeCells>
  <conditionalFormatting sqref="D2:D31">
    <cfRule type="cellIs" dxfId="5" priority="1" operator="equal">
      <formula>0</formula>
    </cfRule>
  </conditionalFormatting>
  <conditionalFormatting sqref="E2:E31">
    <cfRule type="cellIs" dxfId="6" priority="2" operator="equal">
      <formula>0</formula>
    </cfRule>
  </conditionalFormatting>
  <drawing r:id="rId1"/>
</worksheet>
</file>