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Inscrições" sheetId="2" r:id="rId6"/>
    <sheet state="visible" name="Controle Presentes" sheetId="3" r:id="rId7"/>
    <sheet state="visible" name="Datas" sheetId="4" r:id="rId8"/>
    <sheet state="visible" name="Certificado" sheetId="5" r:id="rId9"/>
  </sheets>
  <definedNames>
    <definedName hidden="1" localSheetId="4" name="_xlnm._FilterDatabase">Certificado!$A$1:$N$107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0">
      <text>
        <t xml:space="preserve">O respondente atualizou este valor.</t>
      </text>
    </comment>
    <comment authorId="0" ref="I40">
      <text>
        <t xml:space="preserve">O respondente atualizou este valor.</t>
      </text>
    </comment>
    <comment authorId="0" ref="J40">
      <text>
        <t xml:space="preserve">O respondente atualizou este valor.</t>
      </text>
    </comment>
    <comment authorId="0" ref="C40">
      <text>
        <t xml:space="preserve">O respondente atualizou este valor.</t>
      </text>
    </comment>
    <comment authorId="0" ref="D40">
      <text>
        <t xml:space="preserve">O respondente atualizou este valor.</t>
      </text>
    </comment>
    <comment authorId="0" ref="E40">
      <text>
        <t xml:space="preserve">O respondente atualizou este valor.</t>
      </text>
    </comment>
    <comment authorId="0" ref="F40">
      <text>
        <t xml:space="preserve">O respondente atualizou este valor.</t>
      </text>
    </comment>
    <comment authorId="0" ref="C20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<sst xmlns="http://schemas.openxmlformats.org/spreadsheetml/2006/main" count="1771" uniqueCount="652">
  <si>
    <t>Carimbo de data/hora</t>
  </si>
  <si>
    <t>Ordem</t>
  </si>
  <si>
    <t>Cidade</t>
  </si>
  <si>
    <t>Município</t>
  </si>
  <si>
    <t>Endereço de e-mail</t>
  </si>
  <si>
    <t>Data</t>
  </si>
  <si>
    <t>Nome Completo:</t>
  </si>
  <si>
    <t>Presente?</t>
  </si>
  <si>
    <t>Amambai</t>
  </si>
  <si>
    <t>CPF</t>
  </si>
  <si>
    <t>Você já está inscrito no Curso de Capacitação em Transporte Escolar?</t>
  </si>
  <si>
    <t>Presentes</t>
  </si>
  <si>
    <t>Data de Nascimento</t>
  </si>
  <si>
    <t>CACS-FUNDEB</t>
  </si>
  <si>
    <t>Gestão municipal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</si>
  <si>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</si>
  <si>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</si>
  <si>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</si>
  <si>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</si>
  <si>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</si>
  <si>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Anaurilândia</t>
  </si>
  <si>
    <t>Que cargo você ocupa no CACS-FUNDEB?</t>
  </si>
  <si>
    <t>Telefone (XX)XXXXX-XXXX</t>
  </si>
  <si>
    <t>Função</t>
  </si>
  <si>
    <t>Angélica</t>
  </si>
  <si>
    <t>Aral Moreira</t>
  </si>
  <si>
    <t>maria_aigustha@hormail.com</t>
  </si>
  <si>
    <t xml:space="preserve">Maria Augustha Espíndola Domingues </t>
  </si>
  <si>
    <t>Bataguassu</t>
  </si>
  <si>
    <t>000.249.231-84</t>
  </si>
  <si>
    <t>Sim</t>
  </si>
  <si>
    <t>fagnergalina33@gmail.com</t>
  </si>
  <si>
    <t>Batayporã</t>
  </si>
  <si>
    <t xml:space="preserve">Fagner Rodrigues Galina </t>
  </si>
  <si>
    <t>046.804.109-57</t>
  </si>
  <si>
    <t>Caarapó</t>
  </si>
  <si>
    <t>(67)99653-5397</t>
  </si>
  <si>
    <t>Paranhos</t>
  </si>
  <si>
    <t>Cassilândia</t>
  </si>
  <si>
    <t xml:space="preserve">Diretor de Transporte Escolar </t>
  </si>
  <si>
    <t>Coronel Sapucaia</t>
  </si>
  <si>
    <t>Deodápolis</t>
  </si>
  <si>
    <t>Douradina</t>
  </si>
  <si>
    <t>Dourados</t>
  </si>
  <si>
    <t>eliana.quadra@hotmail.com</t>
  </si>
  <si>
    <t xml:space="preserve">Eliana lopes Pereira </t>
  </si>
  <si>
    <t>Eldorado</t>
  </si>
  <si>
    <t>942.327.681-49</t>
  </si>
  <si>
    <t>(67)99913-6007</t>
  </si>
  <si>
    <t>Fátima do Sul</t>
  </si>
  <si>
    <t>Glória de Dourados</t>
  </si>
  <si>
    <t xml:space="preserve">conselheira </t>
  </si>
  <si>
    <t>Iguatemi</t>
  </si>
  <si>
    <t>jaque_hernacki@hotmail.com</t>
  </si>
  <si>
    <t xml:space="preserve">Jaqueline Hernacki </t>
  </si>
  <si>
    <t>Itaporã</t>
  </si>
  <si>
    <t>023.145.741-33</t>
  </si>
  <si>
    <t>(67)99962-9226</t>
  </si>
  <si>
    <t>valdineipavanelli@hotmail.com</t>
  </si>
  <si>
    <t>Itaquiraí</t>
  </si>
  <si>
    <t xml:space="preserve">Valdinei da Silva Pavanelli </t>
  </si>
  <si>
    <t xml:space="preserve">Tecnica de prestação de contas </t>
  </si>
  <si>
    <t>000.371.471-37</t>
  </si>
  <si>
    <t>Ivinhema</t>
  </si>
  <si>
    <t>gabrielbcosta09091994@gmail.com</t>
  </si>
  <si>
    <t>Japorã</t>
  </si>
  <si>
    <t>Gabriel Barbosa Costa</t>
  </si>
  <si>
    <t>050.776.421-84</t>
  </si>
  <si>
    <t>Jateí</t>
  </si>
  <si>
    <t>(67)98103-8391</t>
  </si>
  <si>
    <t>Maracaju</t>
  </si>
  <si>
    <t>Prestação de Contas</t>
  </si>
  <si>
    <t>Juti</t>
  </si>
  <si>
    <t>Houve troca de gestão, mas não teve processo de transição, a antiga gestão não nos apresentou nada</t>
  </si>
  <si>
    <t>Laguna Carapã</t>
  </si>
  <si>
    <t>ricartegv@outlook.com.br</t>
  </si>
  <si>
    <t xml:space="preserve">Gabriel Vinicius Ricarte Pedrozo </t>
  </si>
  <si>
    <t>070.184.021-82</t>
  </si>
  <si>
    <t>(67)99178-0319</t>
  </si>
  <si>
    <t>Mundo Novo</t>
  </si>
  <si>
    <t xml:space="preserve">Auxiliar de secretaria do transporte </t>
  </si>
  <si>
    <t xml:space="preserve">Mudança de gestão e ingresso de novos servidores </t>
  </si>
  <si>
    <t>geigyson@gmail.com</t>
  </si>
  <si>
    <t>Naviraí</t>
  </si>
  <si>
    <t>Geigyson Mendonça Ribeiro</t>
  </si>
  <si>
    <t>joaojoao515@gmail.com</t>
  </si>
  <si>
    <t>003.625.511-46</t>
  </si>
  <si>
    <t>João Pereira Alves</t>
  </si>
  <si>
    <t>Nova Alvorada do Sul</t>
  </si>
  <si>
    <t>356.418.431-72</t>
  </si>
  <si>
    <t>Não</t>
  </si>
  <si>
    <t>(67)99619-8565</t>
  </si>
  <si>
    <t>(67)9689-2918</t>
  </si>
  <si>
    <t>Nova Andradina</t>
  </si>
  <si>
    <t>Diretor de Departamento deTransporte Escolar</t>
  </si>
  <si>
    <t>Instrutor de Informática</t>
  </si>
  <si>
    <t>Novo Horizonte do Sul</t>
  </si>
  <si>
    <t>lucianomorisco@hotmail.com</t>
  </si>
  <si>
    <t>Luciano Morisco Rapchan</t>
  </si>
  <si>
    <t>447.812.531-72</t>
  </si>
  <si>
    <t>Ponta Porã</t>
  </si>
  <si>
    <t>(67)99648-3181</t>
  </si>
  <si>
    <t>Rio Brilhante</t>
  </si>
  <si>
    <t>Assistente de Administração</t>
  </si>
  <si>
    <t>Sete Quedas</t>
  </si>
  <si>
    <t>Tacuru</t>
  </si>
  <si>
    <t>fv747993@gmail.com</t>
  </si>
  <si>
    <t xml:space="preserve">José Fernando Vieira da Silva </t>
  </si>
  <si>
    <t>Taquarussu</t>
  </si>
  <si>
    <t>005.338.441-50</t>
  </si>
  <si>
    <t>Jonsongeduita@gmail.com</t>
  </si>
  <si>
    <t>Jonson Carvalho Miranda</t>
  </si>
  <si>
    <t>Vicentina</t>
  </si>
  <si>
    <t>814.407.581-15</t>
  </si>
  <si>
    <t>(67)99624-8316</t>
  </si>
  <si>
    <t>Paraíso das Águas</t>
  </si>
  <si>
    <t>Diretor de Departamento de Controle e Prestação de Contas</t>
  </si>
  <si>
    <t>narahbraguini@gmail.com</t>
  </si>
  <si>
    <t>Nara Henrique Braguini</t>
  </si>
  <si>
    <t>023.395.351-58</t>
  </si>
  <si>
    <t>marisantin6@gmail.com</t>
  </si>
  <si>
    <t>(67)99971-3774</t>
  </si>
  <si>
    <t xml:space="preserve">Marilete Santin </t>
  </si>
  <si>
    <t>009.602.231-00</t>
  </si>
  <si>
    <t>Coordenadora</t>
  </si>
  <si>
    <t>ejas.emerson@gmail.com</t>
  </si>
  <si>
    <t xml:space="preserve">Emerson José Alves da Silva </t>
  </si>
  <si>
    <t>847.122.011-34</t>
  </si>
  <si>
    <t>(67)99808-1320</t>
  </si>
  <si>
    <t xml:space="preserve">Diretor transporte escolar </t>
  </si>
  <si>
    <t>milton.micco@itapora.ms.gov.br</t>
  </si>
  <si>
    <t>Milton Cesar de Micco</t>
  </si>
  <si>
    <t>437.570.061-00</t>
  </si>
  <si>
    <t>(67)99643-7631</t>
  </si>
  <si>
    <t>Transporteescolar@novaalvoradadosul.ms.gov.br</t>
  </si>
  <si>
    <t xml:space="preserve">Ozeias Morais da Silva </t>
  </si>
  <si>
    <t>Conselheiro</t>
  </si>
  <si>
    <t>014.985.871-00</t>
  </si>
  <si>
    <t>carlosstabenow@hotmail.com</t>
  </si>
  <si>
    <t>Carlos Eduardo Stabenow Minari</t>
  </si>
  <si>
    <t>931.593.741-49</t>
  </si>
  <si>
    <t>(67)99965-9471</t>
  </si>
  <si>
    <t>Gerente de equipe de unidades escolares</t>
  </si>
  <si>
    <t>silvana.sanches@ifms.edu.br</t>
  </si>
  <si>
    <t xml:space="preserve">Silvana Colombelli Parra Sanches </t>
  </si>
  <si>
    <t>960.116.021-34</t>
  </si>
  <si>
    <t>(67)99173-0771</t>
  </si>
  <si>
    <t>adalbertohonorato@hotmail.com</t>
  </si>
  <si>
    <t>Adalberto Honorato</t>
  </si>
  <si>
    <t>015.174.281-22</t>
  </si>
  <si>
    <t xml:space="preserve">Conselheira titutal sociedade civil </t>
  </si>
  <si>
    <t>ricardoappaixao1979@gmail.com</t>
  </si>
  <si>
    <t xml:space="preserve">Ricardo Aparecido da Paixão </t>
  </si>
  <si>
    <t>(67)99614-9223</t>
  </si>
  <si>
    <t>891.400.791-04</t>
  </si>
  <si>
    <t>(67)99909-7296</t>
  </si>
  <si>
    <t>Membro Fundeb</t>
  </si>
  <si>
    <t xml:space="preserve">Presidente </t>
  </si>
  <si>
    <t>josilaineneves01@gmail.com</t>
  </si>
  <si>
    <t>JOSILÂINE NEVES DA SILVA</t>
  </si>
  <si>
    <t>032.679.841-22</t>
  </si>
  <si>
    <t>(67)99101-5042</t>
  </si>
  <si>
    <t>CHEFE DE DEPARTAMENTO DO TRANSPORTE ESCOLAR</t>
  </si>
  <si>
    <t>smec2018@outlook.com</t>
  </si>
  <si>
    <t>Adriana Ramos da Silva</t>
  </si>
  <si>
    <t>015.884.291-05</t>
  </si>
  <si>
    <t xml:space="preserve">Adriana Ramos da Silva </t>
  </si>
  <si>
    <t>(67)99626-6555</t>
  </si>
  <si>
    <t>Técnica do Transporte Escolar</t>
  </si>
  <si>
    <t>cidamirandasilva@gmail.com</t>
  </si>
  <si>
    <t xml:space="preserve">Maria Aparecida Miranda da Silva </t>
  </si>
  <si>
    <t>481.570.661-15</t>
  </si>
  <si>
    <t>1/15/0069</t>
  </si>
  <si>
    <t>(67)99829-2334</t>
  </si>
  <si>
    <t>clariceeducacaof2@gmail.com</t>
  </si>
  <si>
    <t xml:space="preserve">Clarice de Almeida Faria </t>
  </si>
  <si>
    <t>018.097.781-40</t>
  </si>
  <si>
    <t xml:space="preserve">Vice presidente </t>
  </si>
  <si>
    <t>(67)99870-7697</t>
  </si>
  <si>
    <t>carmemkaio@hotmail.com</t>
  </si>
  <si>
    <t xml:space="preserve">Carmem Lúcia Lopes da Silva </t>
  </si>
  <si>
    <t xml:space="preserve">Chefe da Divisão do transporte escolar </t>
  </si>
  <si>
    <t>929.329.591-15</t>
  </si>
  <si>
    <t>(67)99694-5535</t>
  </si>
  <si>
    <t xml:space="preserve">Técnica de convênios e prestação de contas/membros do Cacs-Fundeb também </t>
  </si>
  <si>
    <t>Garantia de transporte a todos</t>
  </si>
  <si>
    <t>semecel@jatei.ms.gov.br</t>
  </si>
  <si>
    <t>marcio021186@gmail.com</t>
  </si>
  <si>
    <t>RAUL FERNANDO GARCIA</t>
  </si>
  <si>
    <t xml:space="preserve">Marcio de Souza Santos </t>
  </si>
  <si>
    <t>592.634.901-04</t>
  </si>
  <si>
    <t>018.880.441-28</t>
  </si>
  <si>
    <t>(67)99602-6840</t>
  </si>
  <si>
    <t>SECRETÁRIO MUNICIPAL DE EDUCAÇÃO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</si>
  <si>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</si>
  <si>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vanderleifreitas722@gmail.com</t>
  </si>
  <si>
    <t xml:space="preserve">Vanderlei de Freitas Santos </t>
  </si>
  <si>
    <t>AUTENIR RODRIGUES DE LIMA</t>
  </si>
  <si>
    <t>019.226.361-77</t>
  </si>
  <si>
    <t>825.762.621-04</t>
  </si>
  <si>
    <t>(67)99911-2198</t>
  </si>
  <si>
    <t>MEMBRO</t>
  </si>
  <si>
    <t>THIAGO RODRIGUES DOS REIS</t>
  </si>
  <si>
    <t>012.494.461-20</t>
  </si>
  <si>
    <t>ricardosm2002@hotmail.com</t>
  </si>
  <si>
    <t>(67)99848-6764</t>
  </si>
  <si>
    <t xml:space="preserve">Ricardo Souza Marchini </t>
  </si>
  <si>
    <t>022.616.841-77</t>
  </si>
  <si>
    <t>davi.v.lopes@hotmail.com</t>
  </si>
  <si>
    <t xml:space="preserve">Davi Vieira Lopes </t>
  </si>
  <si>
    <t>840.823.481-15</t>
  </si>
  <si>
    <t>(67)99925-9086</t>
  </si>
  <si>
    <t>profosmar@hotmail.com</t>
  </si>
  <si>
    <t>Osmar Aparecido Delvecchio</t>
  </si>
  <si>
    <t>319.591.219-87</t>
  </si>
  <si>
    <t>anapedrodugordo12@gmail.com</t>
  </si>
  <si>
    <t>(67)99852-3057</t>
  </si>
  <si>
    <t xml:space="preserve">Ana Cecília Santos Oliveira </t>
  </si>
  <si>
    <t>022.800.451-92</t>
  </si>
  <si>
    <t>(67)99901-8178</t>
  </si>
  <si>
    <t>leiasouzass@hotmail.com</t>
  </si>
  <si>
    <t>Leia Maria de Jesus Souza</t>
  </si>
  <si>
    <t>797.993.701-59</t>
  </si>
  <si>
    <t xml:space="preserve">Conselheira Tutelar </t>
  </si>
  <si>
    <t>(67)99912-5189</t>
  </si>
  <si>
    <t>Prestação Contas</t>
  </si>
  <si>
    <t>anderson-2511@hotmail.com</t>
  </si>
  <si>
    <t>Anderson Oliveira Souza</t>
  </si>
  <si>
    <t>045.727.011-05</t>
  </si>
  <si>
    <t>(67)98452-5260</t>
  </si>
  <si>
    <t>Técnico Administrativo</t>
  </si>
  <si>
    <t>(67) 99901-8177</t>
  </si>
  <si>
    <t>patricnascimentodasilva@gmail.com</t>
  </si>
  <si>
    <t>Patric Nascimento da Silva</t>
  </si>
  <si>
    <t>032.323.241-85</t>
  </si>
  <si>
    <t>Conselheira Tutelar</t>
  </si>
  <si>
    <t>(67)99935-6261</t>
  </si>
  <si>
    <t>Diretor de transporte</t>
  </si>
  <si>
    <t>luzinel01@gmail.com</t>
  </si>
  <si>
    <t>LUZINEL SOCORRO DO NASCIMENTO</t>
  </si>
  <si>
    <t>802.739.041-91</t>
  </si>
  <si>
    <t>(67)98209-6325</t>
  </si>
  <si>
    <t>AUXILIAR SERVIÇOS TÉCNICOS</t>
  </si>
  <si>
    <t>montilegal171@hotmail.com</t>
  </si>
  <si>
    <t>WAGNER PEREIRA FERNANDES</t>
  </si>
  <si>
    <t>555.696.501-30</t>
  </si>
  <si>
    <t>(67)99657-9030</t>
  </si>
  <si>
    <t xml:space="preserve">Nara Henrique Braguini </t>
  </si>
  <si>
    <t>DIRETOR DE TRANSPORTE ESCOLAR</t>
  </si>
  <si>
    <t>Vagner Pereira Fernandes</t>
  </si>
  <si>
    <t>geovaniamachadolemos@gmail.com</t>
  </si>
  <si>
    <t xml:space="preserve">Geovania Machado Lemos </t>
  </si>
  <si>
    <t>023.432.791-01</t>
  </si>
  <si>
    <t>(67)99914-3233</t>
  </si>
  <si>
    <t xml:space="preserve">Diretora de apoio administrativo </t>
  </si>
  <si>
    <t>rafaelfilho.sofia@gmail.com</t>
  </si>
  <si>
    <t xml:space="preserve">Rafael Aparecido da Silva Bezerra </t>
  </si>
  <si>
    <t>028.916.671-31</t>
  </si>
  <si>
    <t>(67) 98182-7265</t>
  </si>
  <si>
    <t>Coordenador do Transporte Escolar</t>
  </si>
  <si>
    <t>prof_jcarvalho@outlook.com</t>
  </si>
  <si>
    <t xml:space="preserve">Jucimar Carvalho Chaves </t>
  </si>
  <si>
    <t>031.051.231-05</t>
  </si>
  <si>
    <t xml:space="preserve">Josilâine Neves da Silva </t>
  </si>
  <si>
    <t>simaoschuh1@gmail.com</t>
  </si>
  <si>
    <t xml:space="preserve">Simão Sirineu Schuh Dias </t>
  </si>
  <si>
    <t>033.593.471-45</t>
  </si>
  <si>
    <t>thaine.stefani@gmail.com</t>
  </si>
  <si>
    <t>Thaine Stefani</t>
  </si>
  <si>
    <t>034.548.621-83</t>
  </si>
  <si>
    <t>danimedina826@gmail.com</t>
  </si>
  <si>
    <t>daniela medina arguelho</t>
  </si>
  <si>
    <t>083.222.581-94</t>
  </si>
  <si>
    <t>(67)99852-3934</t>
  </si>
  <si>
    <t>técnico</t>
  </si>
  <si>
    <t>profnunes11@gmail.com</t>
  </si>
  <si>
    <t>lucimara260379@gmail.com</t>
  </si>
  <si>
    <t xml:space="preserve">Claudineis Nunes </t>
  </si>
  <si>
    <t xml:space="preserve">Lucimara Caccia Faverssiani </t>
  </si>
  <si>
    <t>035.212.591-88</t>
  </si>
  <si>
    <t>897.614.721-91</t>
  </si>
  <si>
    <t>(67)99644-6575</t>
  </si>
  <si>
    <t xml:space="preserve">Conselheira </t>
  </si>
  <si>
    <t>crissfrangiotti@gmail.com</t>
  </si>
  <si>
    <t>murillolima12@gmail.com</t>
  </si>
  <si>
    <t xml:space="preserve">Amanda Gonsales de lima </t>
  </si>
  <si>
    <t xml:space="preserve">Maria Cristina Frangiotti </t>
  </si>
  <si>
    <t>035.584.901-18</t>
  </si>
  <si>
    <t>921.493.321-91</t>
  </si>
  <si>
    <t>(67)98445-1879</t>
  </si>
  <si>
    <t xml:space="preserve">Membro </t>
  </si>
  <si>
    <t>maurosanp_@hotmail.com</t>
  </si>
  <si>
    <t xml:space="preserve">Mauro San pereira da silva </t>
  </si>
  <si>
    <t>ADINEIA APARECIDA ZADROSKI DUARTE</t>
  </si>
  <si>
    <t>038.697.801-85</t>
  </si>
  <si>
    <t>506.447.341-91</t>
  </si>
  <si>
    <t>(67)99951-1189</t>
  </si>
  <si>
    <t>técnico administrativo</t>
  </si>
  <si>
    <t>dinamarfreitas@hotmail.com</t>
  </si>
  <si>
    <t>Dinamar de Souza Freitas</t>
  </si>
  <si>
    <t>832.356.201-68</t>
  </si>
  <si>
    <t>(67)99671-6678</t>
  </si>
  <si>
    <t>andreluizgomes5691@gmail.com</t>
  </si>
  <si>
    <t xml:space="preserve">André Luiz Gomes da Silva </t>
  </si>
  <si>
    <t>038.713.231-79</t>
  </si>
  <si>
    <t>edinaldo_s_silva@hotmail.com</t>
  </si>
  <si>
    <t>Edinaldo Silva</t>
  </si>
  <si>
    <t>830.554.871-68</t>
  </si>
  <si>
    <t>(67)99649-7035</t>
  </si>
  <si>
    <t>uesley.u@gmail.com</t>
  </si>
  <si>
    <t>Uesley Souza Silva</t>
  </si>
  <si>
    <t xml:space="preserve">presidente </t>
  </si>
  <si>
    <t>041.510.051-88</t>
  </si>
  <si>
    <t>Sônia Regina Meireles Lago</t>
  </si>
  <si>
    <t>063.006.468-74</t>
  </si>
  <si>
    <t>(67)99923-8890</t>
  </si>
  <si>
    <t>julianimalu@gmail.com</t>
  </si>
  <si>
    <t>Juliani Cristini Sieve</t>
  </si>
  <si>
    <t>045.073.871-08</t>
  </si>
  <si>
    <t>(67)98119-9686</t>
  </si>
  <si>
    <t>Represetante de Pais</t>
  </si>
  <si>
    <t>luciano_mcm@hotmail.com</t>
  </si>
  <si>
    <t>Luciano Marques da Costa Martins</t>
  </si>
  <si>
    <t>899.070.941-53</t>
  </si>
  <si>
    <t>(67)98419-2006</t>
  </si>
  <si>
    <t>Gerente do Transporte Escolar</t>
  </si>
  <si>
    <t>Anderson Oliveria Souza</t>
  </si>
  <si>
    <t>guilhermemateus348@gmail.com</t>
  </si>
  <si>
    <t>guilherme mateus silva cardoso</t>
  </si>
  <si>
    <t>086.228.041-94</t>
  </si>
  <si>
    <t>(67)99178-8895</t>
  </si>
  <si>
    <t>Assistente no setor de transporte escolar</t>
  </si>
  <si>
    <t>educacao.matriculadigital@maracaju.ms.gov.br</t>
  </si>
  <si>
    <t>Diretor de Departamento DAS-4</t>
  </si>
  <si>
    <t>Sim, sou da nova gestão desse ano em diante</t>
  </si>
  <si>
    <t>Conselheira</t>
  </si>
  <si>
    <t>fayane.m@hotmail.com</t>
  </si>
  <si>
    <t>Fayane Montenegro Gonçalves Paz</t>
  </si>
  <si>
    <t>048.862.981-09</t>
  </si>
  <si>
    <t>gustavo.texeira33@gmail.com</t>
  </si>
  <si>
    <t>Gustavo Texeira Silva</t>
  </si>
  <si>
    <t>070.308.241-80</t>
  </si>
  <si>
    <t>(67) 99684-8202</t>
  </si>
  <si>
    <t>(67)99691-2218</t>
  </si>
  <si>
    <t>Técnica administrativa</t>
  </si>
  <si>
    <t>Responsável pelo transporte Escolar da Prefeitura de Dourados</t>
  </si>
  <si>
    <t>carol_juti@hotmail.com</t>
  </si>
  <si>
    <t>Carolina Fernandes Paes de Almeida</t>
  </si>
  <si>
    <t>905.700.301-53</t>
  </si>
  <si>
    <t>(67)98448-6815</t>
  </si>
  <si>
    <t>Agente administrativo</t>
  </si>
  <si>
    <t>gabrielbarbosa_costa@live.com</t>
  </si>
  <si>
    <t xml:space="preserve">Gabriel Barbosa Costa </t>
  </si>
  <si>
    <t>Andre Luiz Gomes da Silva</t>
  </si>
  <si>
    <t>(67)98475-4680</t>
  </si>
  <si>
    <t>Diretor do Departamento do Transporte Escolar</t>
  </si>
  <si>
    <t>osmair_garcia@hotmail.com</t>
  </si>
  <si>
    <t>analuizavenite@gmail.com</t>
  </si>
  <si>
    <t>OSMAIR ALVES GARCIA</t>
  </si>
  <si>
    <t>Ana Luiza Venite Gama</t>
  </si>
  <si>
    <t>796.398.951-72</t>
  </si>
  <si>
    <t>058.764.141-07</t>
  </si>
  <si>
    <t>(67)99888-4290</t>
  </si>
  <si>
    <t>ASSISTENTE ADMINISTRATIVO</t>
  </si>
  <si>
    <t>O MUNIC. CONSEGUIU TERCEIRIZAR BOA PARTE DAS LINHAS COM VEICULOS 2025!</t>
  </si>
  <si>
    <t>EDSON UMBELINO</t>
  </si>
  <si>
    <t>554.765.201-63</t>
  </si>
  <si>
    <t>(67)99835-3076</t>
  </si>
  <si>
    <t>COORDENADOR TRANSPORTE ESCOLAR</t>
  </si>
  <si>
    <t>soniareginameireleslago@gmail.com</t>
  </si>
  <si>
    <t>professorasuelli@gmail.com</t>
  </si>
  <si>
    <t xml:space="preserve">Sueli Menezes da Silva </t>
  </si>
  <si>
    <t>480.712.501-04</t>
  </si>
  <si>
    <t>(67)99617-5907</t>
  </si>
  <si>
    <t>TÉCNICA</t>
  </si>
  <si>
    <t>maria_augustha@hotmail.com</t>
  </si>
  <si>
    <t>(67)99971-2118</t>
  </si>
  <si>
    <t>luizaquevedonascimento@gmail.com</t>
  </si>
  <si>
    <t xml:space="preserve">Luiza Quevedo Nascimento </t>
  </si>
  <si>
    <t>065.889.541-90</t>
  </si>
  <si>
    <t xml:space="preserve">Conselheira representante secretaria municipal de educação de dourados </t>
  </si>
  <si>
    <t>Uesley Souza</t>
  </si>
  <si>
    <t>(67)99933-1714</t>
  </si>
  <si>
    <t>Presidente</t>
  </si>
  <si>
    <t>ricartegv@gmail.com</t>
  </si>
  <si>
    <t>(67)99938-1694</t>
  </si>
  <si>
    <t>Gabriel Vinicius Ricarte Pedrozo</t>
  </si>
  <si>
    <t xml:space="preserve">Assistente administrativo </t>
  </si>
  <si>
    <t>vivianne_pf@hotmail.com</t>
  </si>
  <si>
    <t xml:space="preserve">Viviane Mantovani </t>
  </si>
  <si>
    <t>829.613.871-91</t>
  </si>
  <si>
    <t>(66)99604-2529</t>
  </si>
  <si>
    <t xml:space="preserve">Gustavo Texeira Silva </t>
  </si>
  <si>
    <t xml:space="preserve">Conselheiro </t>
  </si>
  <si>
    <t>milenezamai@gmail.com</t>
  </si>
  <si>
    <t xml:space="preserve">Milene Bindilatti Zamai Crivelli </t>
  </si>
  <si>
    <t>899.884.261-00</t>
  </si>
  <si>
    <t>(67)99963-2139</t>
  </si>
  <si>
    <t>augustocesarinformarica@gmail.com</t>
  </si>
  <si>
    <t>Augusto César Henriques</t>
  </si>
  <si>
    <t>Encarrego do setor de prestação de contas</t>
  </si>
  <si>
    <t>080.397.776-07</t>
  </si>
  <si>
    <t>(67) 998271129</t>
  </si>
  <si>
    <t>Técnico de Prestação de contas do transporte escolar</t>
  </si>
  <si>
    <t>(67)99954-7035</t>
  </si>
  <si>
    <t>Representante Escolas do Campo</t>
  </si>
  <si>
    <t>bell-ifsm@hotmail.com</t>
  </si>
  <si>
    <t xml:space="preserve">Isabel Fernandes santos </t>
  </si>
  <si>
    <t>876.656.541-34</t>
  </si>
  <si>
    <t>(67)99627-0716</t>
  </si>
  <si>
    <t xml:space="preserve">Daniela Medina </t>
  </si>
  <si>
    <t>Prestação de contas</t>
  </si>
  <si>
    <t>alcenirlima2025semec@gmail.com</t>
  </si>
  <si>
    <t>(67) 998523934</t>
  </si>
  <si>
    <t>Alcenir Rodrigues de Lima</t>
  </si>
  <si>
    <t>365.252.431-49</t>
  </si>
  <si>
    <t>Técnica</t>
  </si>
  <si>
    <t>(67)98192-0562</t>
  </si>
  <si>
    <t xml:space="preserve">Assessor Técnico e Pedagógico de Projetos e Convênios </t>
  </si>
  <si>
    <t>valdinei da silva pavanelli</t>
  </si>
  <si>
    <t xml:space="preserve">Guilherme Mateus Silva Cardoso </t>
  </si>
  <si>
    <t>(67)98140-1864</t>
  </si>
  <si>
    <t>chefe de divisão do transporte escolar</t>
  </si>
  <si>
    <t>valdenirmalheiros@hotmail.com</t>
  </si>
  <si>
    <t>Valdenir Malheiros de Castro</t>
  </si>
  <si>
    <t>555.735.331-34</t>
  </si>
  <si>
    <t>(67)99807-9014</t>
  </si>
  <si>
    <t>alimentar o programa sete</t>
  </si>
  <si>
    <t>marcosantoniokol17@gmail.com</t>
  </si>
  <si>
    <t xml:space="preserve">Marcos Antônio Kol Rudes </t>
  </si>
  <si>
    <t>088.101.191-69</t>
  </si>
  <si>
    <t>wagao1450@gmail.com</t>
  </si>
  <si>
    <t>Wagner Carlos Perigo</t>
  </si>
  <si>
    <t>781.910.091-53</t>
  </si>
  <si>
    <t>(67)99994-4791</t>
  </si>
  <si>
    <t>Secretário Municipal de Educação Cultura e Esporte</t>
  </si>
  <si>
    <t>crodoaldosp@hotmail.com</t>
  </si>
  <si>
    <t>Crodoaldo Spessoto Prado</t>
  </si>
  <si>
    <t>489.415.901-59</t>
  </si>
  <si>
    <t>(67)99836-4443</t>
  </si>
  <si>
    <t>Marcos Antônio Kol Rudes</t>
  </si>
  <si>
    <t>Conselho</t>
  </si>
  <si>
    <t>camilosanches2247@hotmail.com</t>
  </si>
  <si>
    <t xml:space="preserve">José Camilo Sanches </t>
  </si>
  <si>
    <t>312.780.271-49</t>
  </si>
  <si>
    <t>(67)99698-7171</t>
  </si>
  <si>
    <t xml:space="preserve">Diretor de Transporte </t>
  </si>
  <si>
    <t>romeugoulart@gmail.com</t>
  </si>
  <si>
    <t>tania.salmeida@hotmail.com</t>
  </si>
  <si>
    <t>Romeu Goulart da Silva</t>
  </si>
  <si>
    <t>TÂNIA REGINA DOS SANTOS ALMEIDA</t>
  </si>
  <si>
    <t>312.097.501-04</t>
  </si>
  <si>
    <t>637.035.051-68</t>
  </si>
  <si>
    <t>(67)99648-1099</t>
  </si>
  <si>
    <t>TÉCNICO DO TRANSPORTE ESCOLAR</t>
  </si>
  <si>
    <t xml:space="preserve">Thaine Stefani dos Santos </t>
  </si>
  <si>
    <t>(67)99682-0430</t>
  </si>
  <si>
    <t xml:space="preserve">ass de administração </t>
  </si>
  <si>
    <t>transporte.escolar.amambai@hotmail.com</t>
  </si>
  <si>
    <t xml:space="preserve">Wender Luiz Farias Garai </t>
  </si>
  <si>
    <t>971.277.281-00</t>
  </si>
  <si>
    <t>(67)99108-5287</t>
  </si>
  <si>
    <t>Coordenador de transporte escolar</t>
  </si>
  <si>
    <t>cleberfaria5552@gmail.com</t>
  </si>
  <si>
    <t xml:space="preserve">Cleber Roza de Faria </t>
  </si>
  <si>
    <t>982.073.261-15</t>
  </si>
  <si>
    <t>(67)99906-3441</t>
  </si>
  <si>
    <t>Recepcionista</t>
  </si>
  <si>
    <t>semec@taquarussu.ms.gov.br</t>
  </si>
  <si>
    <t>Amanda Gonsales de Lima</t>
  </si>
  <si>
    <t>(67)99930-3357</t>
  </si>
  <si>
    <t>Auxiliar administrativo</t>
  </si>
  <si>
    <t>Maria Rosely Andrade dos Santos</t>
  </si>
  <si>
    <t>511.394.051-87</t>
  </si>
  <si>
    <t>(67)99663-1093</t>
  </si>
  <si>
    <t>Marcio de souza santos</t>
  </si>
  <si>
    <t>(67)99639-3728</t>
  </si>
  <si>
    <t>Diretor do transporte</t>
  </si>
  <si>
    <t>aninhap882@gmail.com</t>
  </si>
  <si>
    <t xml:space="preserve">Ana da Silva Pinheiro </t>
  </si>
  <si>
    <t>922.710.221-34</t>
  </si>
  <si>
    <t>(67)99977-7990</t>
  </si>
  <si>
    <t xml:space="preserve">Auxiliar administrativo transporte escolar </t>
  </si>
  <si>
    <t>Ônibus todos rastreados</t>
  </si>
  <si>
    <t>claudiopigossobrasil@gmail.com</t>
  </si>
  <si>
    <t xml:space="preserve">Claudio pigosso </t>
  </si>
  <si>
    <t>500.664.711-68</t>
  </si>
  <si>
    <t>(67)99879-6368</t>
  </si>
  <si>
    <t xml:space="preserve">Gerente de equipe do transporte escolar </t>
  </si>
  <si>
    <t>Jucimar Carvalho Chaves</t>
  </si>
  <si>
    <t>(67)99172-4459</t>
  </si>
  <si>
    <t xml:space="preserve">Técnico </t>
  </si>
  <si>
    <t>rosenimartins_freitas@hotmail.com</t>
  </si>
  <si>
    <t>dr.diego.ribeiro25@gmail.com</t>
  </si>
  <si>
    <t xml:space="preserve">Roseni Martins Freitas </t>
  </si>
  <si>
    <t>Diego Ribeiro</t>
  </si>
  <si>
    <t>555.905.001-68</t>
  </si>
  <si>
    <t>355.073.268-60</t>
  </si>
  <si>
    <t>(67)99956-2977</t>
  </si>
  <si>
    <t xml:space="preserve">Secretária de Educação e Cultura </t>
  </si>
  <si>
    <t>(67) 991391611</t>
  </si>
  <si>
    <t>valdemarantonio5@hotmail.com</t>
  </si>
  <si>
    <t xml:space="preserve">Valdemar Antônio de Oliveira </t>
  </si>
  <si>
    <t>372.774.131-72</t>
  </si>
  <si>
    <t>Presidente Fundeb</t>
  </si>
  <si>
    <t>(67)99802-6446</t>
  </si>
  <si>
    <t>Gestor de Transporte Escolar</t>
  </si>
  <si>
    <t>cami_edu_domingos@hotmail.com</t>
  </si>
  <si>
    <t xml:space="preserve">Carla Cristiane Silva Rocha Cunha </t>
  </si>
  <si>
    <t>888.127.741-72</t>
  </si>
  <si>
    <t>(67)99913-8834</t>
  </si>
  <si>
    <t>osmaralves1998@gmail.com</t>
  </si>
  <si>
    <t xml:space="preserve">Osmar Alves de Oliveira Sobrinho </t>
  </si>
  <si>
    <t>637.112.651-20</t>
  </si>
  <si>
    <t>(67)99697-8207</t>
  </si>
  <si>
    <t>(67)99991-3879</t>
  </si>
  <si>
    <t xml:space="preserve">Assistente Administrativo </t>
  </si>
  <si>
    <t>franzwillians@gmail.com</t>
  </si>
  <si>
    <t xml:space="preserve">Franz Willians Coimbra Martins </t>
  </si>
  <si>
    <t>851.073.361-91</t>
  </si>
  <si>
    <t>lucianomorisco@hitmail.com</t>
  </si>
  <si>
    <t>(67)99337-0272</t>
  </si>
  <si>
    <t>Gerente de frota</t>
  </si>
  <si>
    <t>Estamos tentando otimizar nosso transporte escolar conforme a legislação. Mas encontramos muita resistência com os pais. dos alunos.</t>
  </si>
  <si>
    <t>(67)98129-2310</t>
  </si>
  <si>
    <t>Escriturário Transporte Escolar Municipal</t>
  </si>
  <si>
    <t>Sueli Menezes da Silva</t>
  </si>
  <si>
    <t xml:space="preserve">Mauro San pereira da Silva </t>
  </si>
  <si>
    <t>(67)99677-7013</t>
  </si>
  <si>
    <t xml:space="preserve">Gestor transporte </t>
  </si>
  <si>
    <t>José Fernando Vieira da Silva</t>
  </si>
  <si>
    <t>(67)99225-2689</t>
  </si>
  <si>
    <t xml:space="preserve">Chefe de Núcleo de Transporte Escolar </t>
  </si>
  <si>
    <t>(67)99826-1253</t>
  </si>
  <si>
    <t xml:space="preserve">Gestor de núcleo - Convenios e prestação de contas </t>
  </si>
  <si>
    <t>RICARDO SOUZA MARCHINI</t>
  </si>
  <si>
    <t>(67)99671-9885</t>
  </si>
  <si>
    <t>CONTADOR</t>
  </si>
  <si>
    <t>martavlrigon@gmail.com</t>
  </si>
  <si>
    <t>Marta Vieira Leite Rigon</t>
  </si>
  <si>
    <t>906.974.991-20</t>
  </si>
  <si>
    <t>(67)99976-7300</t>
  </si>
  <si>
    <t>Secretária municipal de educação</t>
  </si>
  <si>
    <t>tania_ruivo@hotmail.com</t>
  </si>
  <si>
    <t>Tania Aparecida Ruivo da Luz</t>
  </si>
  <si>
    <t>017.339.721-29</t>
  </si>
  <si>
    <t>(67)99253-6974</t>
  </si>
  <si>
    <t xml:space="preserve">Secretária de Educação </t>
  </si>
  <si>
    <t xml:space="preserve">Não temos ni momento </t>
  </si>
  <si>
    <t>nunesclaudinei628@gmail.com</t>
  </si>
  <si>
    <t>Claudinei Nunes</t>
  </si>
  <si>
    <t>(67)99172-2974</t>
  </si>
  <si>
    <t>Vice-presidente</t>
  </si>
  <si>
    <t>frota@mundonovo.gov.ms.br</t>
  </si>
  <si>
    <t>Willian Carlos Magi Santos</t>
  </si>
  <si>
    <t>732.767.072-68</t>
  </si>
  <si>
    <t>(67)99611-1941</t>
  </si>
  <si>
    <t>Diretor de Transporte e Frota</t>
  </si>
  <si>
    <t>frota@mundonovo.ms.gov.br</t>
  </si>
  <si>
    <t>Willian Carlos magi santos</t>
  </si>
  <si>
    <t>(67)99678-2795</t>
  </si>
  <si>
    <t xml:space="preserve">Coordenador de transporte escolar </t>
  </si>
  <si>
    <t xml:space="preserve">Crodoaldo Spessoto Prado </t>
  </si>
  <si>
    <t>luciana_fmatos@hotmail.com</t>
  </si>
  <si>
    <t xml:space="preserve">Luciana Ferriol de Matos </t>
  </si>
  <si>
    <t>506.487.641-68</t>
  </si>
  <si>
    <t>(67)99983-5384</t>
  </si>
  <si>
    <t>(67)99919-6945</t>
  </si>
  <si>
    <t>costa.dema2409@gmail.com</t>
  </si>
  <si>
    <t xml:space="preserve">Ademir da Silva Costa </t>
  </si>
  <si>
    <t>500.851.311-72</t>
  </si>
  <si>
    <t>delmaaraujo1973@hotmail.com</t>
  </si>
  <si>
    <t>(67)99958-4558</t>
  </si>
  <si>
    <t xml:space="preserve">Delma Eugênia de Araújo </t>
  </si>
  <si>
    <t>562.142.511-15</t>
  </si>
  <si>
    <t>(67)99676-9368</t>
  </si>
  <si>
    <t>maurinha1964@gmail.com</t>
  </si>
  <si>
    <t>joelbaferreiragomes@gmail.com</t>
  </si>
  <si>
    <t xml:space="preserve">Maurici Nascimento Silva </t>
  </si>
  <si>
    <t>Joelba Ferreira Gomes</t>
  </si>
  <si>
    <t>913.159.131-00</t>
  </si>
  <si>
    <t>(67)99856-6954</t>
  </si>
  <si>
    <t>501.461.651-87</t>
  </si>
  <si>
    <t xml:space="preserve">Conselheira representante do Ensino público </t>
  </si>
  <si>
    <t>adneia_zdr@hotmail.com</t>
  </si>
  <si>
    <t xml:space="preserve">Adineia Aparecida Zadroski Duarte </t>
  </si>
  <si>
    <t>roselyandrade08@hotmail.com</t>
  </si>
  <si>
    <t xml:space="preserve">Maria Rosely Andrade dos Santos </t>
  </si>
  <si>
    <t>gislenemfarias@hotmail.com</t>
  </si>
  <si>
    <t xml:space="preserve">Gislene Aparecida Micuinha Farias </t>
  </si>
  <si>
    <t>519.164.361-53</t>
  </si>
  <si>
    <t>(67)99963-8701</t>
  </si>
  <si>
    <t xml:space="preserve">Prestação de contas </t>
  </si>
  <si>
    <t>Não tem</t>
  </si>
  <si>
    <t>nenemdaolaria@yahoo.com.br</t>
  </si>
  <si>
    <t xml:space="preserve">Edson Umbelino </t>
  </si>
  <si>
    <t>montelegal@gmail.com</t>
  </si>
  <si>
    <t xml:space="preserve">Wagner Pereira Fernandes </t>
  </si>
  <si>
    <t>montelegal171@hotmail.xom</t>
  </si>
  <si>
    <t>Wagner Pereira Fenandes</t>
  </si>
  <si>
    <t>paulo.cesar.75@hotmail.com</t>
  </si>
  <si>
    <t>Paulo Cesar Mota dos Santos</t>
  </si>
  <si>
    <t>560.189.911-87</t>
  </si>
  <si>
    <t>(67)99624-4128</t>
  </si>
  <si>
    <t>Secretário da Educação</t>
  </si>
  <si>
    <t>valderene13@gmail.com</t>
  </si>
  <si>
    <t xml:space="preserve">Valderene Ferreira de Alencar </t>
  </si>
  <si>
    <t>582.163.831-34</t>
  </si>
  <si>
    <t>(67)99997-7213</t>
  </si>
  <si>
    <t xml:space="preserve">Assessoria da Deputada Estadual Gleice Jane Barbosa </t>
  </si>
  <si>
    <t xml:space="preserve">Não conheço </t>
  </si>
  <si>
    <t>rauljateieducacao@gmail.com</t>
  </si>
  <si>
    <t>Raul FernandoGarcia</t>
  </si>
  <si>
    <t xml:space="preserve">Tânia Regina dos Santos Almeida </t>
  </si>
  <si>
    <t>osmaraalves1998@gmail.com</t>
  </si>
  <si>
    <t>dpfedufisica@hotmail.com</t>
  </si>
  <si>
    <t>Danillo Petinari Ferratto</t>
  </si>
  <si>
    <t>654.708.931-20</t>
  </si>
  <si>
    <t>(67)99677-9393</t>
  </si>
  <si>
    <t>Técnico departamento de transporte escolar</t>
  </si>
  <si>
    <t>Logística das rotas</t>
  </si>
  <si>
    <t xml:space="preserve">Osmair Alves Garcia </t>
  </si>
  <si>
    <t xml:space="preserve">Luzinel Socorro do Nascimento </t>
  </si>
  <si>
    <t>andresenize@hotmail.com</t>
  </si>
  <si>
    <t xml:space="preserve">André de Souza Mattos </t>
  </si>
  <si>
    <t>813.198.431-15</t>
  </si>
  <si>
    <t>(67)98131-5635</t>
  </si>
  <si>
    <t>jonsongeduita@gmail.com</t>
  </si>
  <si>
    <t xml:space="preserve">Jonson Carvalho Miranda </t>
  </si>
  <si>
    <t>autenir1@hotmail.com</t>
  </si>
  <si>
    <t xml:space="preserve">Autenir Rodrigues de Lima </t>
  </si>
  <si>
    <t xml:space="preserve">Viviane Mantovani Martines </t>
  </si>
  <si>
    <t xml:space="preserve">Dinamar de Souza Freitas </t>
  </si>
  <si>
    <t>Isabel Fernandes Santos</t>
  </si>
  <si>
    <t>Carol_juti@hotmail.com</t>
  </si>
  <si>
    <t xml:space="preserve">Carolina Fernandes Paes de Almeida </t>
  </si>
  <si>
    <t xml:space="preserve">Maurici Nascimento  Silva </t>
  </si>
  <si>
    <t>Maria Cristina Frangiotti</t>
  </si>
  <si>
    <t>Odirlei Ferreira Calixto</t>
  </si>
  <si>
    <t>956.340.371-15</t>
  </si>
  <si>
    <t>(67)98117-7795</t>
  </si>
  <si>
    <t>Motorista</t>
  </si>
  <si>
    <t>benilson.or.oliveira@hotmail.com</t>
  </si>
  <si>
    <t xml:space="preserve">Benilson Ormandes de Oliveira </t>
  </si>
  <si>
    <t>959.818.611-34</t>
  </si>
  <si>
    <t>(67)99883-1574</t>
  </si>
  <si>
    <t xml:space="preserve">Assessor técnico </t>
  </si>
  <si>
    <t xml:space="preserve">Iniciei no setor este ano gostaria de participar de mais capacitações </t>
  </si>
  <si>
    <t>garai.wender@gmail.com</t>
  </si>
  <si>
    <t>criswentzprestes@outlook.com</t>
  </si>
  <si>
    <t>Crislaine Wentz Ferreira</t>
  </si>
  <si>
    <t>985.453.291-72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</si>
</sst>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/d/yyyy h:mm:ss"/>
    <numFmt numFmtId="166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b/>
        <color rgb="FFFF0000"/>
      </font>
      <fill>
        <patternFill patternType="none"/>
      </fill>
      <border/>
    </dxf>
    <dxf>
      <font>
        <color theme="7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  <tableStyles count="5">
    <tableStyle count="4" pivot="0" name="Respostas ao formulário 1-style">
      <tableStyleElement dxfId="1" type="headerRow"/>
      <tableStyleElement dxfId="3" type="firstRowStripe"/>
      <tableStyleElement dxfId="4" type="secondRowStripe"/>
      <tableStyleElement dxfId="6" size="0" type="wholeTable"/>
    </tableStyle>
    <tableStyle count="4" pivot="0" name="Controle Presentes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Datas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Inscrições-style">
      <tableStyleElement dxfId="1" type="headerRow"/>
      <tableStyleElement dxfId="3" type="firstRowStripe"/>
      <tableStyleElement dxfId="4" type="secondRowStripe"/>
      <tableStyleElement dxfId="6" size="0" type="wholeTable"/>
    </tableStyle>
    <tableStyle count="4" pivot="0" name="Certificado-style">
      <tableStyleElement dxfId="1" type="headerRow"/>
      <tableStyleElement dxfId="3" type="firstRowStripe"/>
      <tableStyleElement dxfId="4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07" displayName="Form_Responses1" name="Form_Responses1" id="2">
  <tableColumns count="14">
    <tableColumn name="Carimbo de data/hora" id="1"/>
    <tableColumn name="Endereço de e-mail" id="2"/>
    <tableColumn name="Nome Completo:" id="3"/>
    <tableColumn name="CPF" id="4"/>
    <tableColumn name="Você já está inscrito no Curso de Capacitação em Transporte Escolar?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  <tableColumn name="Cidade" id="13"/>
    <tableColumn name="Função" id="14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K90" displayName="Tabela_1" name="Tabela_1" id="4">
  <tableColumns count="11">
    <tableColumn name="Carimbo de data/hora" id="1"/>
    <tableColumn name="Endereço de e-mail" id="2"/>
    <tableColumn name="Nome Completo:" id="3"/>
    <tableColumn name="CPF" id="4"/>
    <tableColumn name="Data de Nascimento" id="5"/>
    <tableColumn name="Telefone (XX)XXXXX-XXXX" id="6"/>
    <tableColumn name="Município que representa:" id="7"/>
    <tableColumn name="Você faz parte do:" id="8"/>
    <tableColumn name="Que cargo você ocupa na gestão municipal?" id="9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0"/>
    <tableColumn name="Que cargo você ocupa no CACS-FUNDEB?" id="11"/>
  </tableColumns>
  <tableStyleInfo name="Inscrições-style" showColumnStripes="0" showFirstColumn="1" showLastColumn="1" showRowStripes="1"/>
</table>
</file>

<file path=xl/tables/table3.xml><?xml version="1.0" encoding="utf-8"?>
<table xmlns="http://schemas.openxmlformats.org/spreadsheetml/2006/main" ref="A1:G38" displayName="Tabela_3" name="Tabela_3" id="1">
  <tableColumns count="7">
    <tableColumn name="Ordem" id="1"/>
    <tableColumn name="Município" id="2"/>
    <tableColumn name="Data" id="3"/>
    <tableColumn name="Presente?" id="4"/>
    <tableColumn name="Presentes" id="5"/>
    <tableColumn name="CACS-FUNDEB" id="6"/>
    <tableColumn name="Gestão municipal" id="7"/>
  </tableColumns>
  <tableStyleInfo name="Controle Presentes-style" showColumnStripes="0" showFirstColumn="1" showLastColumn="1" showRowStripes="1"/>
</table>
</file>

<file path=xl/tables/table4.xml><?xml version="1.0" encoding="utf-8"?>
<table xmlns="http://schemas.openxmlformats.org/spreadsheetml/2006/main" ref="A1:B38" displayName="Tabela_2" name="Tabela_2" id="3">
  <tableColumns count="2">
    <tableColumn name="Cidade" id="1"/>
    <tableColumn name="Data" id="2"/>
  </tableColumns>
  <tableStyleInfo name="Datas-style" showColumnStripes="0" showFirstColumn="1" showLastColumn="1" showRowStripes="1"/>
</table>
</file>

<file path=xl/tables/table5.xml><?xml version="1.0" encoding="utf-8"?>
<table xmlns="http://schemas.openxmlformats.org/spreadsheetml/2006/main" ref="A1:N107" displayName="Form_Responses1_2" name="Form_Responses1_2" id="5">
  <autoFilter ref="$A$1:$N$107">
    <filterColumn colId="2">
      <filters>
        <filter val="José Camilo Sanches"/>
        <filter val="Willian Carlos magi santos"/>
        <filter val="Tânia Regina dos Santos Almeida"/>
        <filter val="Osmar Alves de Oliveira Sobrinho"/>
        <filter val="Augusto César Henriques"/>
        <filter val="Luciana Ferriol de Matos"/>
        <filter val="Maria Cristina Frangiotti"/>
        <filter val="Gislene Aparecida Micuinha Farias"/>
        <filter val="Autenir Rodrigues de Lima"/>
        <filter val="Odirlei Ferreira Calixto"/>
        <filter val="Crislaine Wentz Ferreira"/>
        <filter val="Viviane Mantovani Martines"/>
        <filter val="Claudineis Nunes"/>
        <filter val="Maria Augustha Espíndola Domingues"/>
        <filter val="Maria Rosely Andrade dos Santos"/>
        <filter val="Franz Willians Coimbra Martins"/>
        <filter val="Uesley Souza Silva"/>
        <filter val="Wender Luiz Farias Garai"/>
        <filter val="Thaine Stefani"/>
        <filter val="Valderene Ferreira de Alencar"/>
        <filter val="Luiza Quevedo Nascimento"/>
        <filter val="Edinaldo Silva"/>
        <filter val="Leia Maria de Jesus Souza"/>
        <filter val="Carla Cristiane Silva Rocha Cunha"/>
        <filter val="Guilherme Mateus Silva Cardoso"/>
        <filter val="Juliani Cristini Sieve"/>
        <filter val="Wagner Pereira Fernandes"/>
        <filter val="Paulo Cesar Mota dos Santos"/>
        <filter val="Raul FernandoGarcia"/>
        <filter val="Diego Ribeiro"/>
        <filter val="Valdemar Antônio de Oliveira"/>
        <filter val="Isabel Fernandes Santos"/>
        <filter val="Adineia Aparecida Zadroski Duarte"/>
        <filter val="Geigyson Mendonça Ribeiro"/>
        <filter val="Amanda Gonsales de lima"/>
        <filter val="Ana Luiza Venite Gama"/>
        <filter val="Luciano Morisco Rapchan"/>
        <filter val="Marilete Santin"/>
        <filter val="Fagner Rodrigues Galina"/>
        <filter val="Fayane Montenegro Gonçalves Paz"/>
        <filter val="Clarice de Almeida Faria"/>
        <filter val="Alcenir Rodrigues de Lima"/>
        <filter val="Maurici Nascimento  Silva"/>
        <filter val="Nara Henrique Braguini"/>
        <filter val="Osmar Aparecido Delvecchio"/>
        <filter val="Jucimar Carvalho Chaves"/>
        <filter val="Edson Umbelino"/>
        <filter val="Marta Vieira Leite Rigon"/>
        <filter val="Delma Eugênia de Araújo"/>
        <filter val="Lucimara Caccia Faverssiani"/>
        <filter val="Anderson Oliveria Souza"/>
        <filter val="Osmair Alves Garcia"/>
        <filter val="Gabriel Barbosa Costa"/>
        <filter val="Carlos Eduardo Stabenow Minari"/>
        <filter val="Dinamar de Souza Freitas"/>
        <filter val="Cleber Roza de Faria"/>
        <filter val="Luzinel Socorro do Nascimento"/>
        <filter val="Marcos Antônio Kol Rudes"/>
        <filter val="Jaqueline Hernacki"/>
        <filter val="Marcio de Souza Santos"/>
        <filter val="André de Souza Mattos"/>
        <filter val="Gabriel Vinicius Ricarte Pedrozo"/>
        <filter val="Simão Sirineu Schuh Dias"/>
        <filter val="Adalberto Honorato"/>
        <filter val="Ana Cecília Santos Oliveira"/>
        <filter val="Joelba Ferreira Gomes"/>
        <filter val="Vanderlei de Freitas Santos"/>
        <filter val="Gustavo Texeira Silva"/>
        <filter val="Sônia Regina Meireles Lago"/>
        <filter val="Wagner Pereira Fenandes"/>
        <filter val="Crodoaldo Spessoto Prado"/>
        <filter val="Ricardo Souza Marchini"/>
        <filter val="Danillo Petinari Ferratto"/>
        <filter val="Benilson Ormandes de Oliveira"/>
        <filter val="Geovania Machado Lemos"/>
        <filter val="Jonson Carvalho Miranda"/>
        <filter val="Carolina Fernandes Paes de Almeida"/>
      </filters>
    </filterColumn>
  </autoFilter>
  <tableColumns count="14">
    <tableColumn name="Carimbo de data/hora" id="1"/>
    <tableColumn name="Endereço de e-mail" id="2"/>
    <tableColumn name="Nome Completo:" id="3"/>
    <tableColumn name="CPF" id="4"/>
    <tableColumn name="Você já está inscrito no Curso de Capacitação em Transporte Escolar?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  <tableColumn name="Cidade" id="13"/>
    <tableColumn name="Função" id="14"/>
  </tableColumns>
  <tableStyleInfo name="Certific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28.25"/>
    <col customWidth="1" min="4" max="4" width="18.88"/>
    <col customWidth="1" min="5" max="5" width="8.5"/>
    <col customWidth="1" min="6" max="6" width="12.88"/>
    <col customWidth="1" min="7" max="7" width="15.88"/>
    <col customWidth="1" min="8" max="8" width="18.38"/>
    <col customWidth="1" min="9" max="9" width="18.88"/>
    <col customWidth="1" min="10" max="10" width="37.25"/>
    <col customWidth="1" min="11" max="11" width="37.63"/>
    <col customWidth="1" min="12" max="12" width="35.63"/>
    <col customWidth="1" min="13" max="17" width="18.88"/>
  </cols>
  <sheetData>
    <row r="1" ht="22.5" customHeight="1">
      <c r="A1" s="2" t="s">
        <v>0</v>
      </c>
      <c r="B1" s="2" t="s">
        <v>4</v>
      </c>
      <c r="C1" s="3" t="s">
        <v>6</v>
      </c>
      <c r="D1" s="3" t="s">
        <v>9</v>
      </c>
      <c r="E1" s="2" t="s">
        <v>10</v>
      </c>
      <c r="F1" s="3" t="s">
        <v>12</v>
      </c>
      <c r="G1" s="7" t="s">
        <v>15</v>
      </c>
      <c r="H1" s="3" t="s">
        <v>16</v>
      </c>
      <c r="I1" s="3" t="s">
        <v>17</v>
      </c>
      <c r="J1" s="3" t="s">
        <v>18</v>
      </c>
      <c r="K1" s="2" t="s">
        <v>19</v>
      </c>
      <c r="L1" s="3" t="s">
        <v>21</v>
      </c>
      <c r="M1" s="10" t="s">
        <v>2</v>
      </c>
      <c r="N1" s="10" t="s">
        <v>23</v>
      </c>
    </row>
    <row r="2" ht="22.5" customHeight="1">
      <c r="A2" s="11">
        <v>45749.59889270834</v>
      </c>
      <c r="B2" s="12" t="s">
        <v>26</v>
      </c>
      <c r="C2" s="12" t="s">
        <v>27</v>
      </c>
      <c r="D2" s="12" t="s">
        <v>29</v>
      </c>
      <c r="E2" s="12" t="s">
        <v>30</v>
      </c>
      <c r="M2" s="16" t="str">
        <f>IF(E2="Não",H2,VLOOKUP(D2,'Inscrições'!D:G,4,FALSE))</f>
        <v>Dourados</v>
      </c>
      <c r="N2" s="5" t="str">
        <f>IF(E2="Sim",VLOOKUP(D2,'Inscrições'!D:H,5,FALSE),I2)</f>
        <v>CACS-FUNDEB</v>
      </c>
      <c r="P2" s="17" t="str">
        <f>VLOOKUP(D2,'Inscrições'!D:H,5,FALSE)</f>
        <v>CACS-FUNDEB</v>
      </c>
    </row>
    <row r="3" ht="22.5" customHeight="1">
      <c r="A3" s="11">
        <v>45750.39922327547</v>
      </c>
      <c r="B3" s="12" t="s">
        <v>58</v>
      </c>
      <c r="C3" s="12" t="s">
        <v>60</v>
      </c>
      <c r="D3" s="12" t="s">
        <v>62</v>
      </c>
      <c r="E3" s="12" t="s">
        <v>30</v>
      </c>
      <c r="M3" s="16" t="str">
        <f>IF(E3="Não",H3,VLOOKUP(D3,'Inscrições'!D:G,4,FALSE))</f>
        <v>Japorã</v>
      </c>
      <c r="N3" s="5" t="str">
        <f>IF(E3="Sim",VLOOKUP(D3,'Inscrições'!D:H,5,FALSE),I3)</f>
        <v>Gestão municipal</v>
      </c>
    </row>
    <row r="4" ht="22.5" customHeight="1">
      <c r="A4" s="18">
        <v>45749.40560513889</v>
      </c>
      <c r="B4" s="19" t="s">
        <v>82</v>
      </c>
      <c r="C4" s="19" t="s">
        <v>84</v>
      </c>
      <c r="D4" s="19" t="s">
        <v>86</v>
      </c>
      <c r="E4" s="19" t="s">
        <v>90</v>
      </c>
      <c r="F4" s="20">
        <v>30697.0</v>
      </c>
      <c r="G4" s="19" t="s">
        <v>92</v>
      </c>
      <c r="H4" s="19" t="s">
        <v>35</v>
      </c>
      <c r="I4" s="12" t="s">
        <v>14</v>
      </c>
      <c r="J4" s="19" t="s">
        <v>95</v>
      </c>
      <c r="K4" s="5"/>
      <c r="L4" s="5"/>
      <c r="M4" s="5" t="str">
        <f>IF(E4="Não",H4,VLOOKUP(D4,'Inscrições'!D:G,4,FALSE))</f>
        <v>Caarapó</v>
      </c>
      <c r="N4" s="5" t="str">
        <f>IF(E4="Sim",VLOOKUP(D4,'Inscrições'!D:H,5,FALSE),I4)</f>
        <v>Gestão municipal</v>
      </c>
    </row>
    <row r="5" ht="22.5" customHeight="1">
      <c r="A5" s="18">
        <v>45749.40577738426</v>
      </c>
      <c r="B5" s="19" t="s">
        <v>106</v>
      </c>
      <c r="C5" s="19" t="s">
        <v>107</v>
      </c>
      <c r="D5" s="19" t="s">
        <v>109</v>
      </c>
      <c r="E5" s="19" t="s">
        <v>30</v>
      </c>
      <c r="F5" s="5"/>
      <c r="G5" s="5"/>
      <c r="H5" s="5"/>
      <c r="I5" s="5"/>
      <c r="J5" s="5"/>
      <c r="K5" s="5"/>
      <c r="L5" s="5"/>
      <c r="M5" s="5" t="str">
        <f>IF(E5="Não",H5,VLOOKUP(D5,'Inscrições'!D:G,4,FALSE))</f>
        <v>Angélica</v>
      </c>
      <c r="N5" s="5" t="str">
        <f>IF(E5="Sim",VLOOKUP(D5,'Inscrições'!D:H,5,FALSE),I5)</f>
        <v>Gestão municipal</v>
      </c>
    </row>
    <row r="6" ht="22.5" customHeight="1">
      <c r="A6" s="11">
        <v>45750.40553120371</v>
      </c>
      <c r="B6" s="12" t="s">
        <v>120</v>
      </c>
      <c r="C6" s="12" t="s">
        <v>122</v>
      </c>
      <c r="D6" s="12" t="s">
        <v>123</v>
      </c>
      <c r="E6" s="12" t="s">
        <v>30</v>
      </c>
      <c r="M6" s="16" t="str">
        <f>IF(E6="Não",H6,VLOOKUP(D6,'Inscrições'!D:G,4,FALSE))</f>
        <v>Rio Brilhante</v>
      </c>
      <c r="N6" s="5" t="str">
        <f>IF(E6="Sim",VLOOKUP(D6,'Inscrições'!D:H,5,FALSE),I6)</f>
        <v>CACS-FUNDEB</v>
      </c>
    </row>
    <row r="7" ht="22.5" customHeight="1">
      <c r="A7" s="11">
        <v>45750.40722680556</v>
      </c>
      <c r="B7" s="12" t="s">
        <v>134</v>
      </c>
      <c r="C7" s="12" t="s">
        <v>135</v>
      </c>
      <c r="D7" s="12" t="s">
        <v>137</v>
      </c>
      <c r="E7" s="12" t="s">
        <v>30</v>
      </c>
      <c r="M7" s="16" t="str">
        <f>IF(E7="Não",H7,VLOOKUP(D7,'Inscrições'!D:G,4,FALSE))</f>
        <v>Nova Alvorada do Sul</v>
      </c>
      <c r="N7" s="5" t="str">
        <f>IF(E7="Sim",VLOOKUP(D7,'Inscrições'!D:H,5,FALSE),I7)</f>
        <v>Gestão municipal</v>
      </c>
    </row>
    <row r="8" ht="22.5" customHeight="1">
      <c r="A8" s="11">
        <v>45750.40982526621</v>
      </c>
      <c r="B8" s="12" t="s">
        <v>147</v>
      </c>
      <c r="C8" s="12" t="s">
        <v>148</v>
      </c>
      <c r="D8" s="12" t="s">
        <v>149</v>
      </c>
      <c r="E8" s="12" t="s">
        <v>90</v>
      </c>
      <c r="F8" s="21">
        <v>31509.0</v>
      </c>
      <c r="G8" s="12" t="s">
        <v>153</v>
      </c>
      <c r="H8" s="12" t="s">
        <v>88</v>
      </c>
      <c r="I8" s="12" t="s">
        <v>13</v>
      </c>
      <c r="L8" s="12" t="s">
        <v>156</v>
      </c>
      <c r="M8" s="16" t="str">
        <f>IF(E8="Não",H8,VLOOKUP(D8,'Inscrições'!D:G,4,FALSE))</f>
        <v>Nova Alvorada do Sul</v>
      </c>
      <c r="N8" s="5" t="str">
        <f>IF(E8="Sim",VLOOKUP(D8,'Inscrições'!D:H,5,FALSE),I8)</f>
        <v>CACS-FUNDEB</v>
      </c>
    </row>
    <row r="9" ht="22.5" customHeight="1">
      <c r="A9" s="11">
        <v>45749.47129664352</v>
      </c>
      <c r="B9" s="12" t="s">
        <v>163</v>
      </c>
      <c r="C9" s="12" t="s">
        <v>166</v>
      </c>
      <c r="D9" s="12" t="s">
        <v>165</v>
      </c>
      <c r="E9" s="12" t="s">
        <v>30</v>
      </c>
      <c r="M9" s="5" t="str">
        <f>IF(E9="Não",H9,VLOOKUP(D9,'Inscrições'!D:G,4,FALSE))</f>
        <v>Batayporã</v>
      </c>
      <c r="N9" s="5" t="str">
        <f>IF(E9="Sim",VLOOKUP(D9,'Inscrições'!D:H,5,FALSE),I9)</f>
        <v>Gestão municipal</v>
      </c>
    </row>
    <row r="10" ht="22.5" customHeight="1">
      <c r="A10" s="11">
        <v>45749.4225037037</v>
      </c>
      <c r="B10" s="12" t="s">
        <v>174</v>
      </c>
      <c r="C10" s="12" t="s">
        <v>175</v>
      </c>
      <c r="D10" s="12" t="s">
        <v>176</v>
      </c>
      <c r="E10" s="12" t="s">
        <v>90</v>
      </c>
      <c r="F10" s="21">
        <v>31200.0</v>
      </c>
      <c r="G10" s="12" t="s">
        <v>178</v>
      </c>
      <c r="H10" s="12" t="s">
        <v>115</v>
      </c>
      <c r="I10" s="12" t="s">
        <v>14</v>
      </c>
      <c r="J10" s="12" t="s">
        <v>181</v>
      </c>
      <c r="M10" s="5" t="str">
        <f>IF(E10="Não",H10,VLOOKUP(D10,'Inscrições'!D:G,4,FALSE))</f>
        <v>Paraíso das Águas</v>
      </c>
      <c r="N10" s="5" t="str">
        <f>IF(E10="Sim",VLOOKUP(D10,'Inscrições'!D:H,5,FALSE),I10)</f>
        <v>Gestão municipal</v>
      </c>
    </row>
    <row r="11" ht="22.5" customHeight="1">
      <c r="A11" s="11">
        <v>45750.40101212963</v>
      </c>
      <c r="B11" s="12" t="s">
        <v>187</v>
      </c>
      <c r="C11" s="12" t="s">
        <v>189</v>
      </c>
      <c r="D11" s="12" t="s">
        <v>191</v>
      </c>
      <c r="E11" s="12" t="s">
        <v>30</v>
      </c>
      <c r="M11" s="16" t="str">
        <f>IF(E11="Não",H11,VLOOKUP(D11,'Inscrições'!D:G,4,FALSE))</f>
        <v>Taquarussu</v>
      </c>
      <c r="N11" s="5" t="str">
        <f>IF(E11="Sim",VLOOKUP(D11,'Inscrições'!D:H,5,FALSE),I11)</f>
        <v>Gestão municipal</v>
      </c>
    </row>
    <row r="12" ht="22.5" customHeight="1">
      <c r="A12" s="11">
        <v>45749.469155</v>
      </c>
      <c r="B12" s="12" t="s">
        <v>195</v>
      </c>
      <c r="C12" s="12" t="s">
        <v>196</v>
      </c>
      <c r="D12" s="12" t="s">
        <v>198</v>
      </c>
      <c r="E12" s="12" t="s">
        <v>30</v>
      </c>
      <c r="M12" s="5" t="str">
        <f>IF(E12="Não",H12,VLOOKUP(D12,'Inscrições'!D:G,4,FALSE))</f>
        <v>Batayporã</v>
      </c>
      <c r="N12" s="5" t="str">
        <f>IF(E12="Sim",VLOOKUP(D12,'Inscrições'!D:H,5,FALSE),I12)</f>
        <v>CACS-FUNDEB</v>
      </c>
    </row>
    <row r="13" ht="22.5" customHeight="1">
      <c r="A13" s="18">
        <v>45749.40564341436</v>
      </c>
      <c r="B13" s="19" t="s">
        <v>204</v>
      </c>
      <c r="C13" s="19" t="s">
        <v>206</v>
      </c>
      <c r="D13" s="19" t="s">
        <v>207</v>
      </c>
      <c r="E13" s="19" t="s">
        <v>30</v>
      </c>
      <c r="F13" s="5"/>
      <c r="G13" s="5"/>
      <c r="H13" s="5"/>
      <c r="I13" s="5"/>
      <c r="J13" s="5"/>
      <c r="K13" s="5"/>
      <c r="L13" s="5"/>
      <c r="M13" s="5" t="str">
        <f>IF(E13="Não",H13,VLOOKUP(D13,'Inscrições'!D:G,4,FALSE))</f>
        <v>Angélica</v>
      </c>
      <c r="N13" s="5" t="str">
        <f>IF(E13="Sim",VLOOKUP(D13,'Inscrições'!D:H,5,FALSE),I13)</f>
        <v>Gestão municipal</v>
      </c>
    </row>
    <row r="14" ht="22.5" customHeight="1">
      <c r="A14" s="18">
        <v>45749.40935178241</v>
      </c>
      <c r="B14" s="19" t="s">
        <v>215</v>
      </c>
      <c r="C14" s="19" t="s">
        <v>217</v>
      </c>
      <c r="D14" s="19" t="s">
        <v>218</v>
      </c>
      <c r="E14" s="19" t="s">
        <v>90</v>
      </c>
      <c r="F14" s="22">
        <v>31610.0</v>
      </c>
      <c r="G14" s="19" t="s">
        <v>219</v>
      </c>
      <c r="H14" s="19" t="s">
        <v>42</v>
      </c>
      <c r="I14" s="19" t="s">
        <v>14</v>
      </c>
      <c r="J14" s="19" t="s">
        <v>223</v>
      </c>
      <c r="K14" s="5"/>
      <c r="L14" s="5"/>
      <c r="M14" s="5" t="str">
        <f>IF(E14="Não",H14,VLOOKUP(D14,'Inscrições'!D:G,4,FALSE))</f>
        <v>Douradina</v>
      </c>
      <c r="N14" s="5" t="str">
        <f>IF(E14="Sim",VLOOKUP(D14,'Inscrições'!D:H,5,FALSE),I14)</f>
        <v>Gestão municipal</v>
      </c>
    </row>
    <row r="15" ht="22.5" customHeight="1">
      <c r="A15" s="11">
        <v>45749.46376237269</v>
      </c>
      <c r="B15" s="12" t="s">
        <v>215</v>
      </c>
      <c r="C15" s="12" t="s">
        <v>217</v>
      </c>
      <c r="D15" s="12" t="s">
        <v>218</v>
      </c>
      <c r="E15" s="19" t="s">
        <v>90</v>
      </c>
      <c r="F15" s="23">
        <v>31610.0</v>
      </c>
      <c r="G15" s="12" t="s">
        <v>231</v>
      </c>
      <c r="H15" s="12" t="s">
        <v>42</v>
      </c>
      <c r="I15" s="12" t="s">
        <v>14</v>
      </c>
      <c r="J15" s="12" t="s">
        <v>235</v>
      </c>
      <c r="M15" s="5" t="str">
        <f>IF(E15="Não",H15,VLOOKUP(D15,'Inscrições'!D:G,4,FALSE))</f>
        <v>Douradina</v>
      </c>
      <c r="N15" s="5" t="str">
        <f>IF(E15="Sim",VLOOKUP(D15,'Inscrições'!D:H,5,FALSE),I15)</f>
        <v>Gestão municipal</v>
      </c>
    </row>
    <row r="16" ht="22.5" customHeight="1">
      <c r="A16" s="11">
        <v>45750.395281550926</v>
      </c>
      <c r="B16" s="12" t="s">
        <v>53</v>
      </c>
      <c r="C16" s="12" t="s">
        <v>54</v>
      </c>
      <c r="D16" s="12" t="s">
        <v>56</v>
      </c>
      <c r="E16" s="12" t="s">
        <v>30</v>
      </c>
      <c r="M16" s="16" t="str">
        <f>IF(E16="Não",H16,VLOOKUP(D16,'Inscrições'!D:G,4,FALSE))</f>
        <v>Paranhos</v>
      </c>
      <c r="N16" s="5" t="str">
        <f>IF(E16="Sim",VLOOKUP(D16,'Inscrições'!D:H,5,FALSE),I16)</f>
        <v>Gestão municipal</v>
      </c>
    </row>
    <row r="17" ht="22.5" customHeight="1">
      <c r="A17" s="11">
        <v>45749.43960841435</v>
      </c>
      <c r="B17" s="12" t="s">
        <v>117</v>
      </c>
      <c r="C17" s="12" t="s">
        <v>247</v>
      </c>
      <c r="D17" s="12" t="s">
        <v>119</v>
      </c>
      <c r="E17" s="12" t="s">
        <v>30</v>
      </c>
      <c r="M17" s="5" t="str">
        <f>IF(E17="Não",H17,VLOOKUP(D17,'Inscrições'!D:G,4,FALSE))</f>
        <v>Ivinhema</v>
      </c>
      <c r="N17" s="5" t="str">
        <f>IF(E17="Sim",VLOOKUP(D17,'Inscrições'!D:H,5,FALSE),I17)</f>
        <v>Gestão municipal</v>
      </c>
    </row>
    <row r="18" ht="22.5" customHeight="1">
      <c r="A18" s="11">
        <v>45749.424423344906</v>
      </c>
      <c r="B18" s="12" t="s">
        <v>250</v>
      </c>
      <c r="C18" s="12" t="s">
        <v>251</v>
      </c>
      <c r="D18" s="12" t="s">
        <v>252</v>
      </c>
      <c r="E18" s="12" t="s">
        <v>90</v>
      </c>
      <c r="F18" s="21">
        <v>31512.0</v>
      </c>
      <c r="G18" s="12" t="s">
        <v>253</v>
      </c>
      <c r="H18" s="12" t="s">
        <v>115</v>
      </c>
      <c r="I18" s="12" t="s">
        <v>14</v>
      </c>
      <c r="J18" s="12" t="s">
        <v>254</v>
      </c>
      <c r="M18" s="5" t="str">
        <f>IF(E18="Não",H18,VLOOKUP(D18,'Inscrições'!D:G,4,FALSE))</f>
        <v>Paraíso das Águas</v>
      </c>
      <c r="N18" s="5" t="str">
        <f>IF(E18="Sim",VLOOKUP(D18,'Inscrições'!D:H,5,FALSE),I18)</f>
        <v>Gestão municipal</v>
      </c>
    </row>
    <row r="19" ht="22.5" customHeight="1">
      <c r="A19" s="11">
        <v>45749.49830543982</v>
      </c>
      <c r="B19" s="12" t="s">
        <v>255</v>
      </c>
      <c r="C19" s="12" t="s">
        <v>256</v>
      </c>
      <c r="D19" s="12" t="s">
        <v>257</v>
      </c>
      <c r="E19" s="12" t="s">
        <v>90</v>
      </c>
      <c r="F19" s="24">
        <v>32475.0</v>
      </c>
      <c r="G19" s="12" t="s">
        <v>258</v>
      </c>
      <c r="H19" s="12" t="s">
        <v>28</v>
      </c>
      <c r="I19" s="12" t="s">
        <v>14</v>
      </c>
      <c r="J19" s="12" t="s">
        <v>259</v>
      </c>
      <c r="M19" s="5" t="str">
        <f>IF(E19="Não",H19,VLOOKUP(D19,'Inscrições'!D:G,4,FALSE))</f>
        <v>Bataguassu</v>
      </c>
      <c r="N19" s="5" t="str">
        <f>IF(E19="Sim",VLOOKUP(D19,'Inscrições'!D:H,5,FALSE),I19)</f>
        <v>Gestão municipal</v>
      </c>
    </row>
    <row r="20" ht="22.5" customHeight="1">
      <c r="A20" s="18">
        <v>45749.399093506945</v>
      </c>
      <c r="B20" s="19" t="s">
        <v>260</v>
      </c>
      <c r="C20" s="19" t="s">
        <v>261</v>
      </c>
      <c r="D20" s="19" t="s">
        <v>262</v>
      </c>
      <c r="E20" s="19" t="s">
        <v>30</v>
      </c>
      <c r="F20" s="5"/>
      <c r="G20" s="5"/>
      <c r="H20" s="5"/>
      <c r="I20" s="5"/>
      <c r="J20" s="5"/>
      <c r="K20" s="5"/>
      <c r="L20" s="5"/>
      <c r="M20" s="5" t="str">
        <f>IF(E20="Não",H20,VLOOKUP(D20,'Inscrições'!D:G,4,FALSE))</f>
        <v>Coronel Sapucaia</v>
      </c>
      <c r="N20" s="5" t="str">
        <f>IF(E20="Sim",VLOOKUP(D20,'Inscrições'!D:H,5,FALSE),I20)</f>
        <v>CACS-FUNDEB</v>
      </c>
    </row>
    <row r="21" ht="22.5" customHeight="1">
      <c r="A21" s="18">
        <v>45749.404808796295</v>
      </c>
      <c r="B21" s="19" t="s">
        <v>158</v>
      </c>
      <c r="C21" s="19" t="s">
        <v>263</v>
      </c>
      <c r="D21" s="19" t="s">
        <v>160</v>
      </c>
      <c r="E21" s="19" t="s">
        <v>30</v>
      </c>
      <c r="F21" s="5"/>
      <c r="G21" s="5"/>
      <c r="H21" s="5"/>
      <c r="I21" s="5"/>
      <c r="J21" s="5"/>
      <c r="K21" s="5"/>
      <c r="L21" s="5"/>
      <c r="M21" s="5" t="str">
        <f>IF(E21="Não",H21,VLOOKUP(D21,'Inscrições'!D:G,4,FALSE))</f>
        <v>Caarapó</v>
      </c>
      <c r="N21" s="5" t="str">
        <f>IF(E21="Sim",VLOOKUP(D21,'Inscrições'!D:H,5,FALSE),I21)</f>
        <v>Gestão municipal</v>
      </c>
    </row>
    <row r="22" ht="22.5" customHeight="1">
      <c r="A22" s="11">
        <v>45750.53701060185</v>
      </c>
      <c r="B22" s="12" t="s">
        <v>264</v>
      </c>
      <c r="C22" s="12" t="s">
        <v>265</v>
      </c>
      <c r="D22" s="12" t="s">
        <v>266</v>
      </c>
      <c r="E22" s="12" t="s">
        <v>30</v>
      </c>
      <c r="M22" s="16" t="str">
        <f>IF(E22="Não",H22,VLOOKUP(D22,'Inscrições'!D:G,4,FALSE))</f>
        <v>#N/A</v>
      </c>
      <c r="N22" s="16" t="str">
        <f>IF(E22="Sim",VLOOKUP(D22,'Inscrições'!D:H,5,FALSE),I22)</f>
        <v>#N/A</v>
      </c>
    </row>
    <row r="23" ht="22.5" customHeight="1">
      <c r="A23" s="11">
        <v>45750.404945277776</v>
      </c>
      <c r="B23" s="12" t="s">
        <v>267</v>
      </c>
      <c r="C23" s="12" t="s">
        <v>268</v>
      </c>
      <c r="D23" s="12" t="s">
        <v>269</v>
      </c>
      <c r="E23" s="12" t="s">
        <v>30</v>
      </c>
      <c r="M23" s="16" t="str">
        <f>IF(E23="Não",H23,VLOOKUP(D23,'Inscrições'!D:G,4,FALSE))</f>
        <v>Rio Brilhante</v>
      </c>
      <c r="N23" s="5" t="str">
        <f>IF(E23="Sim",VLOOKUP(D23,'Inscrições'!D:H,5,FALSE),I23)</f>
        <v>Gestão municipal</v>
      </c>
    </row>
    <row r="24" ht="22.5" customHeight="1">
      <c r="A24" s="11">
        <v>45749.8611965625</v>
      </c>
      <c r="B24" s="12" t="s">
        <v>275</v>
      </c>
      <c r="C24" s="12" t="s">
        <v>277</v>
      </c>
      <c r="D24" s="12" t="s">
        <v>279</v>
      </c>
      <c r="E24" s="12" t="s">
        <v>30</v>
      </c>
      <c r="M24" s="16" t="str">
        <f>IF(E24="Não",H24,VLOOKUP(D24,'Inscrições'!D:G,4,FALSE))</f>
        <v>Eldorado</v>
      </c>
      <c r="N24" s="5" t="str">
        <f>IF(E24="Sim",VLOOKUP(D24,'Inscrições'!D:H,5,FALSE),I24)</f>
        <v>CACS-FUNDEB</v>
      </c>
    </row>
    <row r="25" ht="22.5" customHeight="1">
      <c r="A25" s="11">
        <v>45750.46222501158</v>
      </c>
      <c r="B25" s="12" t="s">
        <v>284</v>
      </c>
      <c r="C25" s="12" t="s">
        <v>285</v>
      </c>
      <c r="D25" s="12" t="s">
        <v>287</v>
      </c>
      <c r="E25" s="12" t="s">
        <v>30</v>
      </c>
      <c r="M25" s="16" t="str">
        <f>IF(E25="Não",H25,VLOOKUP(D25,'Inscrições'!D:G,4,FALSE))</f>
        <v>Taquarussu</v>
      </c>
      <c r="N25" s="16" t="str">
        <f>IF(E25="Sim",VLOOKUP(D25,'Inscrições'!D:H,5,FALSE),I25)</f>
        <v>Gestão municipal</v>
      </c>
    </row>
    <row r="26" ht="22.5" customHeight="1">
      <c r="A26" s="11">
        <v>45749.49912944445</v>
      </c>
      <c r="B26" s="12" t="s">
        <v>291</v>
      </c>
      <c r="C26" s="12" t="s">
        <v>292</v>
      </c>
      <c r="D26" s="12" t="s">
        <v>294</v>
      </c>
      <c r="E26" s="12" t="s">
        <v>30</v>
      </c>
      <c r="M26" s="5" t="str">
        <f>IF(E26="Não",H26,VLOOKUP(D26,'Inscrições'!D:G,4,FALSE))</f>
        <v>Iguatemi</v>
      </c>
      <c r="N26" s="5" t="str">
        <f>IF(E26="Sim",VLOOKUP(D26,'Inscrições'!D:H,5,FALSE),I26)</f>
        <v>Gestão municipal</v>
      </c>
    </row>
    <row r="27" ht="22.5" customHeight="1">
      <c r="A27" s="11">
        <v>45750.41317137731</v>
      </c>
      <c r="B27" s="12" t="s">
        <v>302</v>
      </c>
      <c r="C27" s="12" t="s">
        <v>303</v>
      </c>
      <c r="D27" s="12" t="s">
        <v>304</v>
      </c>
      <c r="E27" s="12" t="s">
        <v>30</v>
      </c>
      <c r="M27" s="16" t="str">
        <f>IF(E27="Não",H27,VLOOKUP(D27,'Inscrições'!D:G,4,FALSE))</f>
        <v>Juti</v>
      </c>
      <c r="N27" s="5" t="str">
        <f>IF(E27="Sim",VLOOKUP(D27,'Inscrições'!D:H,5,FALSE),I27)</f>
        <v>Gestão municipal</v>
      </c>
    </row>
    <row r="28" ht="22.5" customHeight="1">
      <c r="A28" s="11">
        <v>45750.404574305554</v>
      </c>
      <c r="B28" s="12" t="s">
        <v>309</v>
      </c>
      <c r="C28" s="12" t="s">
        <v>310</v>
      </c>
      <c r="D28" s="12" t="s">
        <v>312</v>
      </c>
      <c r="E28" s="12" t="s">
        <v>30</v>
      </c>
      <c r="M28" s="16" t="str">
        <f>IF(E28="Não",H28,VLOOKUP(D28,'Inscrições'!D:G,4,FALSE))</f>
        <v>Rio Brilhante</v>
      </c>
      <c r="N28" s="5" t="str">
        <f>IF(E28="Sim",VLOOKUP(D28,'Inscrições'!D:H,5,FALSE),I28)</f>
        <v>CACS-FUNDEB</v>
      </c>
    </row>
    <row r="29" ht="22.5" customHeight="1">
      <c r="A29" s="11">
        <v>45750.543660358795</v>
      </c>
      <c r="B29" s="12" t="s">
        <v>316</v>
      </c>
      <c r="C29" s="12" t="s">
        <v>317</v>
      </c>
      <c r="D29" s="12" t="s">
        <v>318</v>
      </c>
      <c r="E29" s="12" t="s">
        <v>90</v>
      </c>
      <c r="F29" s="21">
        <v>34332.0</v>
      </c>
      <c r="G29" s="12" t="s">
        <v>319</v>
      </c>
      <c r="H29" s="12" t="s">
        <v>96</v>
      </c>
      <c r="I29" s="12" t="s">
        <v>13</v>
      </c>
      <c r="L29" s="12" t="s">
        <v>320</v>
      </c>
      <c r="M29" s="16" t="str">
        <f>IF(E29="Não",H29,VLOOKUP(D29,'Inscrições'!D:G,4,FALSE))</f>
        <v>Novo Horizonte do Sul</v>
      </c>
      <c r="N29" s="16" t="str">
        <f>IF(E29="Sim",VLOOKUP(D29,'Inscrições'!D:H,5,FALSE),I29)</f>
        <v>CACS-FUNDEB</v>
      </c>
    </row>
    <row r="30" ht="22.5" customHeight="1">
      <c r="A30" s="11">
        <v>45750.54256944444</v>
      </c>
      <c r="B30" s="12" t="s">
        <v>226</v>
      </c>
      <c r="C30" s="12" t="s">
        <v>326</v>
      </c>
      <c r="D30" s="12" t="s">
        <v>228</v>
      </c>
      <c r="E30" s="12" t="s">
        <v>30</v>
      </c>
      <c r="M30" s="16" t="str">
        <f>IF(E30="Não",H30,VLOOKUP(D30,'Inscrições'!D:G,4,FALSE))</f>
        <v>Novo Horizonte do Sul</v>
      </c>
      <c r="N30" s="16" t="str">
        <f>IF(E30="Sim",VLOOKUP(D30,'Inscrições'!D:H,5,FALSE),I30)</f>
        <v>Gestão municipal</v>
      </c>
    </row>
    <row r="31" ht="22.5" customHeight="1">
      <c r="A31" s="11">
        <v>45750.39520158565</v>
      </c>
      <c r="B31" s="12" t="s">
        <v>31</v>
      </c>
      <c r="C31" s="12" t="s">
        <v>33</v>
      </c>
      <c r="D31" s="12" t="s">
        <v>34</v>
      </c>
      <c r="E31" s="12" t="s">
        <v>30</v>
      </c>
      <c r="M31" s="16" t="str">
        <f>IF(E31="Não",H31,VLOOKUP(D31,'Inscrições'!D:G,4,FALSE))</f>
        <v>Paranhos</v>
      </c>
      <c r="N31" s="5" t="str">
        <f>IF(E31="Sim",VLOOKUP(D31,'Inscrições'!D:H,5,FALSE),I31)</f>
        <v>Gestão municipal</v>
      </c>
    </row>
    <row r="32" ht="22.5" customHeight="1">
      <c r="A32" s="11">
        <v>45749.496341562495</v>
      </c>
      <c r="B32" s="12" t="s">
        <v>336</v>
      </c>
      <c r="C32" s="12" t="s">
        <v>337</v>
      </c>
      <c r="D32" s="12" t="s">
        <v>338</v>
      </c>
      <c r="E32" s="12" t="s">
        <v>90</v>
      </c>
      <c r="F32" s="23">
        <v>34577.0</v>
      </c>
      <c r="G32" s="12" t="s">
        <v>342</v>
      </c>
      <c r="H32" s="12" t="s">
        <v>42</v>
      </c>
      <c r="I32" s="12" t="s">
        <v>14</v>
      </c>
      <c r="J32" s="12" t="s">
        <v>344</v>
      </c>
      <c r="M32" s="5" t="str">
        <f>IF(E32="Não",H32,VLOOKUP(D32,'Inscrições'!D:G,4,FALSE))</f>
        <v>Douradina</v>
      </c>
      <c r="N32" s="5" t="str">
        <f>IF(E32="Sim",VLOOKUP(D32,'Inscrições'!D:H,5,FALSE),I32)</f>
        <v>Gestão municipal</v>
      </c>
    </row>
    <row r="33" ht="22.5" customHeight="1">
      <c r="A33" s="11">
        <v>45750.39885478009</v>
      </c>
      <c r="B33" s="12" t="s">
        <v>351</v>
      </c>
      <c r="C33" s="12" t="s">
        <v>352</v>
      </c>
      <c r="D33" s="12" t="s">
        <v>67</v>
      </c>
      <c r="E33" s="12" t="s">
        <v>30</v>
      </c>
      <c r="M33" s="16" t="str">
        <f>IF(E33="Não",H33,VLOOKUP(D33,'Inscrições'!D:G,4,FALSE))</f>
        <v>Maracaju</v>
      </c>
      <c r="N33" s="5" t="str">
        <f>IF(E33="Sim",VLOOKUP(D33,'Inscrições'!D:H,5,FALSE),I33)</f>
        <v>Gestão municipal</v>
      </c>
    </row>
    <row r="34" ht="22.5" customHeight="1">
      <c r="A34" s="11">
        <v>45750.40475306713</v>
      </c>
      <c r="B34" s="12" t="s">
        <v>357</v>
      </c>
      <c r="C34" s="12" t="s">
        <v>359</v>
      </c>
      <c r="D34" s="12" t="s">
        <v>361</v>
      </c>
      <c r="E34" s="12" t="s">
        <v>30</v>
      </c>
      <c r="M34" s="16" t="str">
        <f>IF(E34="Não",H34,VLOOKUP(D34,'Inscrições'!D:G,4,FALSE))</f>
        <v>Rio Brilhante</v>
      </c>
      <c r="N34" s="5" t="str">
        <f>IF(E34="Sim",VLOOKUP(D34,'Inscrições'!D:H,5,FALSE),I34)</f>
        <v>Gestão municipal</v>
      </c>
    </row>
    <row r="35" ht="22.5" customHeight="1">
      <c r="A35" s="11">
        <v>45750.40736793981</v>
      </c>
      <c r="B35" s="12" t="s">
        <v>369</v>
      </c>
      <c r="C35" s="12" t="s">
        <v>313</v>
      </c>
      <c r="D35" s="12" t="s">
        <v>314</v>
      </c>
      <c r="E35" s="12" t="s">
        <v>30</v>
      </c>
      <c r="M35" s="16" t="str">
        <f>IF(E35="Não",H35,VLOOKUP(D35,'Inscrições'!D:G,4,FALSE))</f>
        <v>Laguna Carapã</v>
      </c>
      <c r="N35" s="5" t="str">
        <f>IF(E35="Sim",VLOOKUP(D35,'Inscrições'!D:H,5,FALSE),I35)</f>
        <v>CACS-FUNDEB</v>
      </c>
    </row>
    <row r="36" ht="22.5" customHeight="1">
      <c r="A36" s="18">
        <v>45749.40101101852</v>
      </c>
      <c r="B36" s="19" t="s">
        <v>377</v>
      </c>
      <c r="C36" s="19" t="s">
        <v>378</v>
      </c>
      <c r="D36" s="19" t="s">
        <v>379</v>
      </c>
      <c r="E36" s="19" t="s">
        <v>30</v>
      </c>
      <c r="F36" s="5"/>
      <c r="G36" s="5"/>
      <c r="H36" s="5"/>
      <c r="I36" s="5"/>
      <c r="J36" s="5"/>
      <c r="K36" s="5"/>
      <c r="L36" s="5"/>
      <c r="M36" s="5" t="str">
        <f>IF(E36="Não",H36,VLOOKUP(D36,'Inscrições'!D:G,4,FALSE))</f>
        <v>Dourados</v>
      </c>
      <c r="N36" s="5" t="str">
        <f>IF(E36="Sim",VLOOKUP(D36,'Inscrições'!D:H,5,FALSE),I36)</f>
        <v>Gestão municipal</v>
      </c>
    </row>
    <row r="37" ht="22.5" customHeight="1">
      <c r="A37" s="11">
        <v>45750.396606215276</v>
      </c>
      <c r="B37" s="12" t="s">
        <v>384</v>
      </c>
      <c r="C37" s="12" t="s">
        <v>386</v>
      </c>
      <c r="D37" s="12" t="s">
        <v>77</v>
      </c>
      <c r="E37" s="12" t="s">
        <v>30</v>
      </c>
      <c r="M37" s="16" t="str">
        <f>IF(E37="Não",H37,VLOOKUP(D37,'Inscrições'!D:G,4,FALSE))</f>
        <v>Maracaju</v>
      </c>
      <c r="N37" s="5" t="str">
        <f>IF(E37="Sim",VLOOKUP(D37,'Inscrições'!D:H,5,FALSE),I37)</f>
        <v>Gestão municipal</v>
      </c>
    </row>
    <row r="38" ht="22.5" customHeight="1">
      <c r="A38" s="11">
        <v>45749.50213146991</v>
      </c>
      <c r="B38" s="12" t="s">
        <v>339</v>
      </c>
      <c r="C38" s="12" t="s">
        <v>392</v>
      </c>
      <c r="D38" s="12" t="s">
        <v>341</v>
      </c>
      <c r="E38" s="12" t="s">
        <v>30</v>
      </c>
      <c r="M38" s="5" t="str">
        <f>IF(E38="Não",H38,VLOOKUP(D38,'Inscrições'!D:G,4,FALSE))</f>
        <v>Dourados</v>
      </c>
      <c r="N38" s="5" t="str">
        <f>IF(E38="Sim",VLOOKUP(D38,'Inscrições'!D:H,5,FALSE),I38)</f>
        <v>Gestão municipal</v>
      </c>
    </row>
    <row r="39" ht="22.5" customHeight="1">
      <c r="A39" s="11">
        <v>45750.397836793985</v>
      </c>
      <c r="B39" s="12" t="s">
        <v>398</v>
      </c>
      <c r="C39" s="12" t="s">
        <v>399</v>
      </c>
      <c r="D39" s="12" t="s">
        <v>401</v>
      </c>
      <c r="E39" s="12" t="s">
        <v>90</v>
      </c>
      <c r="F39" s="24">
        <v>31405.0</v>
      </c>
      <c r="G39" s="12" t="s">
        <v>402</v>
      </c>
      <c r="H39" s="12" t="s">
        <v>70</v>
      </c>
      <c r="I39" s="12" t="s">
        <v>14</v>
      </c>
      <c r="J39" s="12" t="s">
        <v>403</v>
      </c>
      <c r="M39" s="16" t="str">
        <f>IF(E39="Não",H39,VLOOKUP(D39,'Inscrições'!D:G,4,FALSE))</f>
        <v>Maracaju</v>
      </c>
      <c r="N39" s="5" t="str">
        <f>IF(E39="Sim",VLOOKUP(D39,'Inscrições'!D:H,5,FALSE),I39)</f>
        <v>Gestão municipal</v>
      </c>
    </row>
    <row r="40" ht="22.5" customHeight="1">
      <c r="A40" s="11">
        <v>45750.39956738426</v>
      </c>
      <c r="B40" s="12" t="s">
        <v>270</v>
      </c>
      <c r="C40" s="12" t="s">
        <v>410</v>
      </c>
      <c r="D40" s="12" t="s">
        <v>272</v>
      </c>
      <c r="E40" s="12" t="s">
        <v>90</v>
      </c>
      <c r="F40" s="23">
        <v>36569.0</v>
      </c>
      <c r="G40" s="12" t="s">
        <v>413</v>
      </c>
      <c r="H40" s="12" t="s">
        <v>74</v>
      </c>
      <c r="I40" s="12" t="s">
        <v>14</v>
      </c>
      <c r="J40" s="12" t="s">
        <v>416</v>
      </c>
      <c r="M40" s="16" t="str">
        <f>IF(E40="Não",H40,VLOOKUP(D40,'Inscrições'!D:G,4,FALSE))</f>
        <v>Laguna Carapã</v>
      </c>
      <c r="N40" s="5" t="str">
        <f>IF(E40="Sim",VLOOKUP(D40,'Inscrições'!D:H,5,FALSE),I40)</f>
        <v>Gestão municipal</v>
      </c>
    </row>
    <row r="41" ht="22.5" customHeight="1">
      <c r="A41" s="11">
        <v>45750.397731770834</v>
      </c>
      <c r="B41" s="12" t="s">
        <v>327</v>
      </c>
      <c r="C41" s="12" t="s">
        <v>420</v>
      </c>
      <c r="D41" s="12" t="s">
        <v>329</v>
      </c>
      <c r="E41" s="12" t="s">
        <v>30</v>
      </c>
      <c r="M41" s="16" t="str">
        <f>IF(E41="Não",H41,VLOOKUP(D41,'Inscrições'!D:G,4,FALSE))</f>
        <v>Ponta Porã</v>
      </c>
      <c r="N41" s="5" t="str">
        <f>IF(E41="Sim",VLOOKUP(D41,'Inscrições'!D:H,5,FALSE),I41)</f>
        <v>Gestão municipal</v>
      </c>
    </row>
    <row r="42" ht="22.5" customHeight="1">
      <c r="A42" s="11">
        <v>45749.45882622685</v>
      </c>
      <c r="B42" s="12" t="s">
        <v>428</v>
      </c>
      <c r="C42" s="12" t="s">
        <v>429</v>
      </c>
      <c r="D42" s="12" t="s">
        <v>430</v>
      </c>
      <c r="E42" s="12" t="s">
        <v>30</v>
      </c>
      <c r="M42" s="5" t="str">
        <f>IF(E42="Não",H42,VLOOKUP(D42,'Inscrições'!D:G,4,FALSE))</f>
        <v>Aral Moreira</v>
      </c>
      <c r="N42" s="5" t="str">
        <f>IF(E42="Sim",VLOOKUP(D42,'Inscrições'!D:H,5,FALSE),I42)</f>
        <v>Gestão municipal</v>
      </c>
    </row>
    <row r="43" ht="22.5" customHeight="1">
      <c r="A43" s="11">
        <v>45749.692326041666</v>
      </c>
      <c r="B43" s="12" t="s">
        <v>428</v>
      </c>
      <c r="C43" s="12" t="s">
        <v>440</v>
      </c>
      <c r="D43" s="12" t="s">
        <v>430</v>
      </c>
      <c r="E43" s="12" t="s">
        <v>30</v>
      </c>
      <c r="M43" s="16" t="str">
        <f>IF(E43="Não",H43,VLOOKUP(D43,'Inscrições'!D:G,4,FALSE))</f>
        <v>Aral Moreira</v>
      </c>
      <c r="N43" s="5" t="str">
        <f>IF(E43="Sim",VLOOKUP(D43,'Inscrições'!D:H,5,FALSE),I43)</f>
        <v>Gestão municipal</v>
      </c>
    </row>
    <row r="44" ht="22.5" customHeight="1">
      <c r="A44" s="11">
        <v>45750.39854486111</v>
      </c>
      <c r="B44" s="12" t="s">
        <v>447</v>
      </c>
      <c r="C44" s="12" t="s">
        <v>449</v>
      </c>
      <c r="D44" s="12" t="s">
        <v>451</v>
      </c>
      <c r="E44" s="12" t="s">
        <v>30</v>
      </c>
      <c r="M44" s="16" t="str">
        <f>IF(E44="Não",H44,VLOOKUP(D44,'Inscrições'!D:G,4,FALSE))</f>
        <v>Cassilândia</v>
      </c>
      <c r="N44" s="5" t="str">
        <f>IF(E44="Sim",VLOOKUP(D44,'Inscrições'!D:H,5,FALSE),I44)</f>
        <v>Gestão municipal</v>
      </c>
    </row>
    <row r="45" ht="22.5" customHeight="1">
      <c r="A45" s="18">
        <v>45749.39763172454</v>
      </c>
      <c r="B45" s="19" t="s">
        <v>442</v>
      </c>
      <c r="C45" s="19" t="s">
        <v>443</v>
      </c>
      <c r="D45" s="19" t="s">
        <v>444</v>
      </c>
      <c r="E45" s="19" t="s">
        <v>30</v>
      </c>
      <c r="F45" s="5"/>
      <c r="G45" s="5"/>
      <c r="H45" s="5"/>
      <c r="I45" s="5"/>
      <c r="J45" s="5"/>
      <c r="K45" s="5"/>
      <c r="L45" s="5"/>
      <c r="M45" s="5" t="str">
        <f>IF(E45="Não",H45,VLOOKUP(D45,'Inscrições'!D:G,4,FALSE))</f>
        <v>Eldorado</v>
      </c>
      <c r="N45" s="5" t="str">
        <f>IF(E45="Sim",VLOOKUP(D45,'Inscrições'!D:H,5,FALSE),I45)</f>
        <v>Gestão municipal</v>
      </c>
    </row>
    <row r="46" ht="22.5" customHeight="1">
      <c r="A46" s="18">
        <v>45749.40478208334</v>
      </c>
      <c r="B46" s="19" t="s">
        <v>442</v>
      </c>
      <c r="C46" s="19" t="s">
        <v>443</v>
      </c>
      <c r="D46" s="19" t="s">
        <v>444</v>
      </c>
      <c r="E46" s="19" t="s">
        <v>30</v>
      </c>
      <c r="F46" s="5"/>
      <c r="G46" s="5"/>
      <c r="H46" s="5"/>
      <c r="I46" s="5"/>
      <c r="J46" s="5"/>
      <c r="K46" s="5"/>
      <c r="L46" s="5"/>
      <c r="M46" s="5" t="str">
        <f>IF(E46="Não",H46,VLOOKUP(D46,'Inscrições'!D:G,4,FALSE))</f>
        <v>Eldorado</v>
      </c>
      <c r="N46" s="5" t="str">
        <f>IF(E46="Sim",VLOOKUP(D46,'Inscrições'!D:H,5,FALSE),I46)</f>
        <v>Gestão municipal</v>
      </c>
    </row>
    <row r="47" ht="22.5" customHeight="1">
      <c r="A47" s="11">
        <v>45749.41274027778</v>
      </c>
      <c r="B47" s="12" t="s">
        <v>442</v>
      </c>
      <c r="C47" s="12" t="s">
        <v>443</v>
      </c>
      <c r="D47" s="12" t="s">
        <v>444</v>
      </c>
      <c r="E47" s="12" t="s">
        <v>30</v>
      </c>
      <c r="M47" s="5" t="str">
        <f>IF(E47="Não",H47,VLOOKUP(D47,'Inscrições'!D:G,4,FALSE))</f>
        <v>Eldorado</v>
      </c>
      <c r="N47" s="5" t="str">
        <f>IF(E47="Sim",VLOOKUP(D47,'Inscrições'!D:H,5,FALSE),I47)</f>
        <v>Gestão municipal</v>
      </c>
    </row>
    <row r="48" ht="22.5" customHeight="1">
      <c r="A48" s="18">
        <v>45749.406650185185</v>
      </c>
      <c r="B48" s="19" t="s">
        <v>212</v>
      </c>
      <c r="C48" s="19" t="s">
        <v>213</v>
      </c>
      <c r="D48" s="19" t="s">
        <v>214</v>
      </c>
      <c r="E48" s="19" t="s">
        <v>30</v>
      </c>
      <c r="F48" s="5"/>
      <c r="G48" s="5"/>
      <c r="H48" s="5"/>
      <c r="I48" s="5"/>
      <c r="J48" s="5"/>
      <c r="K48" s="5"/>
      <c r="L48" s="5"/>
      <c r="M48" s="5" t="str">
        <f>IF(E48="Não",H48,VLOOKUP(D48,'Inscrições'!D:G,4,FALSE))</f>
        <v>Amambai</v>
      </c>
      <c r="N48" s="5" t="str">
        <f>IF(E48="Sim",VLOOKUP(D48,'Inscrições'!D:H,5,FALSE),I48)</f>
        <v>CACS-FUNDEB</v>
      </c>
    </row>
    <row r="49" ht="22.5" customHeight="1">
      <c r="A49" s="11">
        <v>45750.399561377315</v>
      </c>
      <c r="B49" s="12" t="s">
        <v>493</v>
      </c>
      <c r="C49" s="12" t="s">
        <v>495</v>
      </c>
      <c r="D49" s="12" t="s">
        <v>497</v>
      </c>
      <c r="E49" s="12" t="s">
        <v>90</v>
      </c>
      <c r="F49" s="23">
        <v>31913.0</v>
      </c>
      <c r="G49" s="12" t="s">
        <v>500</v>
      </c>
      <c r="H49" s="12" t="s">
        <v>74</v>
      </c>
      <c r="I49" s="12" t="s">
        <v>13</v>
      </c>
      <c r="L49" s="12" t="s">
        <v>504</v>
      </c>
      <c r="M49" s="16" t="str">
        <f>IF(E49="Não",H49,VLOOKUP(D49,'Inscrições'!D:G,4,FALSE))</f>
        <v>Laguna Carapã</v>
      </c>
      <c r="N49" s="5" t="str">
        <f>IF(E49="Sim",VLOOKUP(D49,'Inscrições'!D:H,5,FALSE),I49)</f>
        <v>CACS-FUNDEB</v>
      </c>
    </row>
    <row r="50" ht="22.5" customHeight="1">
      <c r="A50" s="11">
        <v>45749.498308993054</v>
      </c>
      <c r="B50" s="12" t="s">
        <v>412</v>
      </c>
      <c r="C50" s="12" t="s">
        <v>414</v>
      </c>
      <c r="D50" s="12" t="s">
        <v>415</v>
      </c>
      <c r="E50" s="12" t="s">
        <v>30</v>
      </c>
      <c r="M50" s="5" t="str">
        <f>IF(E50="Não",H50,VLOOKUP(D50,'Inscrições'!D:G,4,FALSE))</f>
        <v>Bataguassu</v>
      </c>
      <c r="N50" s="5" t="str">
        <f>IF(E50="Sim",VLOOKUP(D50,'Inscrições'!D:H,5,FALSE),I50)</f>
        <v>Gestão municipal</v>
      </c>
    </row>
    <row r="51" ht="22.5" customHeight="1">
      <c r="A51" s="11">
        <v>45749.41276417824</v>
      </c>
      <c r="B51" s="12" t="s">
        <v>501</v>
      </c>
      <c r="C51" s="12" t="s">
        <v>502</v>
      </c>
      <c r="D51" s="12" t="s">
        <v>503</v>
      </c>
      <c r="E51" s="12" t="s">
        <v>30</v>
      </c>
      <c r="M51" s="5" t="str">
        <f>IF(E51="Não",H51,VLOOKUP(D51,'Inscrições'!D:G,4,FALSE))</f>
        <v>Amambai</v>
      </c>
      <c r="N51" s="5" t="str">
        <f>IF(E51="Sim",VLOOKUP(D51,'Inscrições'!D:H,5,FALSE),I51)</f>
        <v>Gestão municipal</v>
      </c>
    </row>
    <row r="52" ht="22.5" customHeight="1">
      <c r="A52" s="11">
        <v>45749.44077</v>
      </c>
      <c r="B52" s="12" t="s">
        <v>520</v>
      </c>
      <c r="C52" s="12" t="s">
        <v>98</v>
      </c>
      <c r="D52" s="12" t="s">
        <v>99</v>
      </c>
      <c r="E52" s="12" t="s">
        <v>30</v>
      </c>
      <c r="M52" s="5" t="str">
        <f>IF(E52="Não",H52,VLOOKUP(D52,'Inscrições'!D:G,4,FALSE))</f>
        <v>Ivinhema</v>
      </c>
      <c r="N52" s="5" t="str">
        <f>IF(E52="Sim",VLOOKUP(D52,'Inscrições'!D:H,5,FALSE),I52)</f>
        <v>Gestão municipal</v>
      </c>
    </row>
    <row r="53" ht="22.5" customHeight="1">
      <c r="A53" s="18">
        <v>45749.383134131946</v>
      </c>
      <c r="B53" s="19" t="s">
        <v>370</v>
      </c>
      <c r="C53" s="19" t="s">
        <v>526</v>
      </c>
      <c r="D53" s="19" t="s">
        <v>372</v>
      </c>
      <c r="E53" s="19" t="s">
        <v>30</v>
      </c>
      <c r="F53" s="5"/>
      <c r="G53" s="5"/>
      <c r="H53" s="5"/>
      <c r="I53" s="5"/>
      <c r="J53" s="5"/>
      <c r="K53" s="5"/>
      <c r="L53" s="5"/>
      <c r="M53" s="5" t="str">
        <f>IF(E53="Não",H53,VLOOKUP(D53,'Inscrições'!D:G,4,FALSE))</f>
        <v>Glória de Dourados</v>
      </c>
      <c r="N53" s="5" t="str">
        <f>IF(E53="Sim",VLOOKUP(D53,'Inscrições'!D:H,5,FALSE),I53)</f>
        <v>Gestão municipal</v>
      </c>
    </row>
    <row r="54" ht="22.5" customHeight="1">
      <c r="A54" s="18">
        <v>45749.40458284722</v>
      </c>
      <c r="B54" s="19" t="s">
        <v>370</v>
      </c>
      <c r="C54" s="19" t="s">
        <v>371</v>
      </c>
      <c r="D54" s="19" t="s">
        <v>372</v>
      </c>
      <c r="E54" s="19" t="s">
        <v>30</v>
      </c>
      <c r="F54" s="5"/>
      <c r="G54" s="5"/>
      <c r="H54" s="5"/>
      <c r="I54" s="5"/>
      <c r="J54" s="5"/>
      <c r="K54" s="5"/>
      <c r="L54" s="5"/>
      <c r="M54" s="5" t="str">
        <f>IF(E54="Não",H54,VLOOKUP(D54,'Inscrições'!D:G,4,FALSE))</f>
        <v>Glória de Dourados</v>
      </c>
      <c r="N54" s="5" t="str">
        <f>IF(E54="Sim",VLOOKUP(D54,'Inscrições'!D:H,5,FALSE),I54)</f>
        <v>Gestão municipal</v>
      </c>
    </row>
    <row r="55" ht="22.5" customHeight="1">
      <c r="A55" s="18">
        <v>45749.40729819445</v>
      </c>
      <c r="B55" s="19" t="s">
        <v>370</v>
      </c>
      <c r="C55" s="19" t="s">
        <v>371</v>
      </c>
      <c r="D55" s="19" t="s">
        <v>372</v>
      </c>
      <c r="E55" s="19" t="s">
        <v>30</v>
      </c>
      <c r="F55" s="5"/>
      <c r="G55" s="5"/>
      <c r="H55" s="5"/>
      <c r="I55" s="5"/>
      <c r="J55" s="5"/>
      <c r="K55" s="5"/>
      <c r="L55" s="5"/>
      <c r="M55" s="5" t="str">
        <f>IF(E55="Não",H55,VLOOKUP(D55,'Inscrições'!D:G,4,FALSE))</f>
        <v>Glória de Dourados</v>
      </c>
      <c r="N55" s="5" t="str">
        <f>IF(E55="Sim",VLOOKUP(D55,'Inscrições'!D:H,5,FALSE),I55)</f>
        <v>Gestão municipal</v>
      </c>
    </row>
    <row r="56" ht="22.5" customHeight="1">
      <c r="A56" s="11">
        <v>45749.502632476855</v>
      </c>
      <c r="B56" s="12" t="s">
        <v>370</v>
      </c>
      <c r="C56" s="12" t="s">
        <v>371</v>
      </c>
      <c r="D56" s="12" t="s">
        <v>372</v>
      </c>
      <c r="E56" s="12" t="s">
        <v>30</v>
      </c>
      <c r="M56" s="5" t="str">
        <f>IF(E56="Não",H56,VLOOKUP(D56,'Inscrições'!D:G,4,FALSE))</f>
        <v>Glória de Dourados</v>
      </c>
      <c r="N56" s="5" t="str">
        <f>IF(E56="Sim",VLOOKUP(D56,'Inscrições'!D:H,5,FALSE),I56)</f>
        <v>Gestão municipal</v>
      </c>
    </row>
    <row r="57" ht="22.5" customHeight="1">
      <c r="A57" s="11">
        <v>45749.47155960648</v>
      </c>
      <c r="B57" s="12" t="s">
        <v>169</v>
      </c>
      <c r="C57" s="12" t="s">
        <v>170</v>
      </c>
      <c r="D57" s="12" t="s">
        <v>171</v>
      </c>
      <c r="E57" s="12" t="s">
        <v>30</v>
      </c>
      <c r="M57" s="5" t="str">
        <f>IF(E57="Não",H57,VLOOKUP(D57,'Inscrições'!D:G,4,FALSE))</f>
        <v>Batayporã</v>
      </c>
      <c r="N57" s="5" t="str">
        <f>IF(E57="Sim",VLOOKUP(D57,'Inscrições'!D:H,5,FALSE),I57)</f>
        <v>CACS-FUNDEB</v>
      </c>
    </row>
    <row r="58" ht="22.5" customHeight="1">
      <c r="A58" s="18">
        <v>45749.40817298611</v>
      </c>
      <c r="B58" s="19" t="s">
        <v>436</v>
      </c>
      <c r="C58" s="19" t="s">
        <v>562</v>
      </c>
      <c r="D58" s="19" t="s">
        <v>438</v>
      </c>
      <c r="E58" s="19" t="s">
        <v>30</v>
      </c>
      <c r="F58" s="5"/>
      <c r="G58" s="5"/>
      <c r="H58" s="5"/>
      <c r="I58" s="5"/>
      <c r="J58" s="5"/>
      <c r="K58" s="5"/>
      <c r="L58" s="5"/>
      <c r="M58" s="5" t="str">
        <f>IF(E58="Não",H58,VLOOKUP(D58,'Inscrições'!D:G,4,FALSE))</f>
        <v>Itaporã</v>
      </c>
      <c r="N58" s="5" t="str">
        <f>IF(E58="Sim",VLOOKUP(D58,'Inscrições'!D:H,5,FALSE),I58)</f>
        <v>CACS-FUNDEB</v>
      </c>
    </row>
    <row r="59" ht="22.5" customHeight="1">
      <c r="A59" s="11">
        <v>45749.416073078704</v>
      </c>
      <c r="B59" s="12" t="s">
        <v>568</v>
      </c>
      <c r="C59" s="12" t="s">
        <v>569</v>
      </c>
      <c r="D59" s="12" t="s">
        <v>570</v>
      </c>
      <c r="E59" s="12" t="s">
        <v>90</v>
      </c>
      <c r="F59" s="21">
        <v>25470.0</v>
      </c>
      <c r="G59" s="12" t="s">
        <v>572</v>
      </c>
      <c r="H59" s="12" t="s">
        <v>50</v>
      </c>
      <c r="I59" s="12" t="s">
        <v>13</v>
      </c>
      <c r="L59" s="12" t="s">
        <v>177</v>
      </c>
      <c r="M59" s="25" t="str">
        <f>IF(E59="Não",H59,VLOOKUP(D59,'Inscrições'!D:G,4,FALSE))</f>
        <v>Glória de Dourados</v>
      </c>
      <c r="N59" s="25" t="str">
        <f>IF(E59="Sim",VLOOKUP(D59,'Inscrições'!D:H,5,FALSE),I59)</f>
        <v>CACS-FUNDEB</v>
      </c>
    </row>
    <row r="60" ht="22.5" customHeight="1">
      <c r="A60" s="11">
        <v>45750.54105237269</v>
      </c>
      <c r="B60" s="12" t="s">
        <v>577</v>
      </c>
      <c r="C60" s="12" t="s">
        <v>579</v>
      </c>
      <c r="D60" s="12" t="s">
        <v>582</v>
      </c>
      <c r="E60" s="12" t="s">
        <v>30</v>
      </c>
      <c r="M60" s="16" t="str">
        <f>IF(E60="Não",H60,VLOOKUP(D60,'Inscrições'!D:G,4,FALSE))</f>
        <v>#N/A</v>
      </c>
      <c r="N60" s="16" t="str">
        <f>IF(E60="Sim",VLOOKUP(D60,'Inscrições'!D:H,5,FALSE),I60)</f>
        <v>#N/A</v>
      </c>
    </row>
    <row r="61" ht="22.5" customHeight="1">
      <c r="A61" s="11">
        <v>45750.397339166666</v>
      </c>
      <c r="B61" s="12" t="s">
        <v>584</v>
      </c>
      <c r="C61" s="12" t="s">
        <v>585</v>
      </c>
      <c r="D61" s="12" t="s">
        <v>295</v>
      </c>
      <c r="E61" s="12" t="s">
        <v>30</v>
      </c>
      <c r="M61" s="16" t="str">
        <f>IF(E61="Não",H61,VLOOKUP(D61,'Inscrições'!D:G,4,FALSE))</f>
        <v>Laguna Carapã</v>
      </c>
      <c r="N61" s="5" t="str">
        <f>IF(E61="Sim",VLOOKUP(D61,'Inscrições'!D:H,5,FALSE),I61)</f>
        <v>CACS-FUNDEB</v>
      </c>
    </row>
    <row r="62" ht="22.5" customHeight="1">
      <c r="A62" s="11">
        <v>45750.4066999537</v>
      </c>
      <c r="B62" s="12" t="s">
        <v>563</v>
      </c>
      <c r="C62" s="12" t="s">
        <v>564</v>
      </c>
      <c r="D62" s="12" t="s">
        <v>565</v>
      </c>
      <c r="E62" s="12" t="s">
        <v>30</v>
      </c>
      <c r="M62" s="16" t="str">
        <f>IF(E62="Não",H62,VLOOKUP(D62,'Inscrições'!D:G,4,FALSE))</f>
        <v>Ponta Porã</v>
      </c>
      <c r="N62" s="5" t="str">
        <f>IF(E62="Sim",VLOOKUP(D62,'Inscrições'!D:H,5,FALSE),I62)</f>
        <v>CACS-FUNDEB</v>
      </c>
    </row>
    <row r="63" ht="22.5" customHeight="1">
      <c r="A63" s="11">
        <v>45750.401470578705</v>
      </c>
      <c r="B63" s="12" t="s">
        <v>586</v>
      </c>
      <c r="C63" s="12" t="s">
        <v>587</v>
      </c>
      <c r="D63" s="12" t="s">
        <v>473</v>
      </c>
      <c r="E63" s="12" t="s">
        <v>30</v>
      </c>
      <c r="M63" s="16" t="str">
        <f>IF(E63="Não",H63,VLOOKUP(D63,'Inscrições'!D:G,4,FALSE))</f>
        <v>Taquarussu</v>
      </c>
      <c r="N63" s="5" t="str">
        <f>IF(E63="Sim",VLOOKUP(D63,'Inscrições'!D:H,5,FALSE),I63)</f>
        <v>Gestão municipal</v>
      </c>
    </row>
    <row r="64" ht="22.5" customHeight="1">
      <c r="A64" s="11">
        <v>45749.417769907406</v>
      </c>
      <c r="B64" s="12" t="s">
        <v>588</v>
      </c>
      <c r="C64" s="12" t="s">
        <v>589</v>
      </c>
      <c r="D64" s="12" t="s">
        <v>590</v>
      </c>
      <c r="E64" s="12" t="s">
        <v>90</v>
      </c>
      <c r="F64" s="21">
        <v>25676.0</v>
      </c>
      <c r="G64" s="12" t="s">
        <v>591</v>
      </c>
      <c r="H64" s="12" t="s">
        <v>40</v>
      </c>
      <c r="I64" s="12" t="s">
        <v>14</v>
      </c>
      <c r="J64" s="12" t="s">
        <v>592</v>
      </c>
      <c r="K64" s="12" t="s">
        <v>593</v>
      </c>
      <c r="M64" s="5" t="str">
        <f>IF(E64="Não",H64,VLOOKUP(D64,'Inscrições'!D:G,4,FALSE))</f>
        <v>Coronel Sapucaia</v>
      </c>
      <c r="N64" s="5" t="str">
        <f>IF(E64="Sim",VLOOKUP(D64,'Inscrições'!D:H,5,FALSE),I64)</f>
        <v>Gestão municipal</v>
      </c>
    </row>
    <row r="65" ht="22.5" customHeight="1">
      <c r="A65" s="18">
        <v>45749.404694641205</v>
      </c>
      <c r="B65" s="19" t="s">
        <v>594</v>
      </c>
      <c r="C65" s="19" t="s">
        <v>595</v>
      </c>
      <c r="D65" s="19" t="s">
        <v>366</v>
      </c>
      <c r="E65" s="19" t="s">
        <v>30</v>
      </c>
      <c r="F65" s="5"/>
      <c r="G65" s="5"/>
      <c r="H65" s="5"/>
      <c r="I65" s="5"/>
      <c r="J65" s="5"/>
      <c r="K65" s="5"/>
      <c r="L65" s="5"/>
      <c r="M65" s="5" t="str">
        <f>IF(E65="Não",H65,VLOOKUP(D65,'Inscrições'!D:G,4,FALSE))</f>
        <v>Anaurilândia</v>
      </c>
      <c r="N65" s="5" t="str">
        <f>IF(E65="Sim",VLOOKUP(D65,'Inscrições'!D:H,5,FALSE),I65)</f>
        <v>Gestão municipal</v>
      </c>
    </row>
    <row r="66" ht="22.5" customHeight="1">
      <c r="A66" s="18">
        <v>45749.403313483796</v>
      </c>
      <c r="B66" s="19" t="s">
        <v>596</v>
      </c>
      <c r="C66" s="19" t="s">
        <v>597</v>
      </c>
      <c r="D66" s="19" t="s">
        <v>245</v>
      </c>
      <c r="E66" s="19" t="s">
        <v>30</v>
      </c>
      <c r="F66" s="5"/>
      <c r="G66" s="5"/>
      <c r="H66" s="5"/>
      <c r="I66" s="5"/>
      <c r="J66" s="5"/>
      <c r="K66" s="5"/>
      <c r="L66" s="5"/>
      <c r="M66" s="5" t="str">
        <f>IF(E66="Não",H66,VLOOKUP(D66,'Inscrições'!D:G,4,FALSE))</f>
        <v>Itaquiraí</v>
      </c>
      <c r="N66" s="5" t="str">
        <f>IF(E66="Sim",VLOOKUP(D66,'Inscrições'!D:H,5,FALSE),I66)</f>
        <v>Gestão municipal</v>
      </c>
    </row>
    <row r="67" ht="22.5" customHeight="1">
      <c r="A67" s="11">
        <v>45749.50559315972</v>
      </c>
      <c r="B67" s="12" t="s">
        <v>598</v>
      </c>
      <c r="C67" s="12" t="s">
        <v>599</v>
      </c>
      <c r="D67" s="12" t="s">
        <v>245</v>
      </c>
      <c r="E67" s="12" t="s">
        <v>30</v>
      </c>
      <c r="M67" s="5" t="str">
        <f>IF(E67="Não",H67,VLOOKUP(D67,'Inscrições'!D:G,4,FALSE))</f>
        <v>Itaquiraí</v>
      </c>
      <c r="N67" s="5" t="str">
        <f>IF(E67="Sim",VLOOKUP(D67,'Inscrições'!D:H,5,FALSE),I67)</f>
        <v>Gestão municipal</v>
      </c>
    </row>
    <row r="68" ht="22.5" customHeight="1">
      <c r="A68" s="11">
        <v>45750.539664641205</v>
      </c>
      <c r="B68" s="12" t="s">
        <v>600</v>
      </c>
      <c r="C68" s="12" t="s">
        <v>601</v>
      </c>
      <c r="D68" s="12" t="s">
        <v>602</v>
      </c>
      <c r="E68" s="12" t="s">
        <v>90</v>
      </c>
      <c r="F68" s="21">
        <v>27486.0</v>
      </c>
      <c r="G68" s="12" t="s">
        <v>603</v>
      </c>
      <c r="H68" s="12" t="s">
        <v>104</v>
      </c>
      <c r="I68" s="12" t="s">
        <v>14</v>
      </c>
      <c r="J68" s="12" t="s">
        <v>604</v>
      </c>
      <c r="M68" s="16" t="str">
        <f>IF(E68="Não",H68,VLOOKUP(D68,'Inscrições'!D:G,4,FALSE))</f>
        <v>Sete Quedas</v>
      </c>
      <c r="N68" s="16" t="str">
        <f>IF(E68="Sim",VLOOKUP(D68,'Inscrições'!D:H,5,FALSE),I68)</f>
        <v>Gestão municipal</v>
      </c>
    </row>
    <row r="69" ht="22.5" customHeight="1">
      <c r="A69" s="11">
        <v>45750.40010601852</v>
      </c>
      <c r="B69" s="12" t="s">
        <v>571</v>
      </c>
      <c r="C69" s="12" t="s">
        <v>573</v>
      </c>
      <c r="D69" s="12" t="s">
        <v>574</v>
      </c>
      <c r="E69" s="12" t="s">
        <v>30</v>
      </c>
      <c r="M69" s="16" t="str">
        <f>IF(E69="Não",H69,VLOOKUP(D69,'Inscrições'!D:G,4,FALSE))</f>
        <v>Vicentina</v>
      </c>
      <c r="N69" s="5" t="str">
        <f>IF(E69="Sim",VLOOKUP(D69,'Inscrições'!D:H,5,FALSE),I69)</f>
        <v>CACS-FUNDEB</v>
      </c>
    </row>
    <row r="70" ht="22.5" customHeight="1">
      <c r="A70" s="11">
        <v>45749.413162060184</v>
      </c>
      <c r="B70" s="12" t="s">
        <v>605</v>
      </c>
      <c r="C70" s="12" t="s">
        <v>606</v>
      </c>
      <c r="D70" s="12" t="s">
        <v>607</v>
      </c>
      <c r="E70" s="12" t="s">
        <v>90</v>
      </c>
      <c r="F70" s="21">
        <v>26355.0</v>
      </c>
      <c r="G70" s="12" t="s">
        <v>608</v>
      </c>
      <c r="H70" s="12" t="s">
        <v>43</v>
      </c>
      <c r="I70" s="12" t="s">
        <v>14</v>
      </c>
      <c r="J70" s="12" t="s">
        <v>609</v>
      </c>
      <c r="K70" s="12" t="s">
        <v>610</v>
      </c>
      <c r="M70" s="5" t="str">
        <f>IF(E70="Não",H70,VLOOKUP(D70,'Inscrições'!D:G,4,FALSE))</f>
        <v>Dourados</v>
      </c>
      <c r="N70" s="5" t="str">
        <f>IF(E70="Sim",VLOOKUP(D70,'Inscrições'!D:H,5,FALSE),I70)</f>
        <v>Gestão municipal</v>
      </c>
    </row>
    <row r="71" ht="22.5" customHeight="1">
      <c r="A71" s="11">
        <v>45750.40182753472</v>
      </c>
      <c r="B71" s="12" t="s">
        <v>611</v>
      </c>
      <c r="C71" s="12" t="s">
        <v>612</v>
      </c>
      <c r="D71" s="12" t="s">
        <v>190</v>
      </c>
      <c r="E71" s="12" t="s">
        <v>30</v>
      </c>
      <c r="M71" s="16" t="str">
        <f>IF(E71="Não",H71,VLOOKUP(D71,'Inscrições'!D:G,4,FALSE))</f>
        <v>Jateí</v>
      </c>
      <c r="N71" s="5" t="str">
        <f>IF(E71="Sim",VLOOKUP(D71,'Inscrições'!D:H,5,FALSE),I71)</f>
        <v>Gestão municipal</v>
      </c>
    </row>
    <row r="72" ht="22.5" customHeight="1">
      <c r="A72" s="11">
        <v>45749.49579956019</v>
      </c>
      <c r="B72" s="12" t="s">
        <v>448</v>
      </c>
      <c r="C72" s="12" t="s">
        <v>613</v>
      </c>
      <c r="D72" s="12" t="s">
        <v>452</v>
      </c>
      <c r="E72" s="12" t="s">
        <v>30</v>
      </c>
      <c r="M72" s="5" t="str">
        <f>IF(E72="Não",H72,VLOOKUP(D72,'Inscrições'!D:G,4,FALSE))</f>
        <v>Douradina</v>
      </c>
      <c r="N72" s="5" t="str">
        <f>IF(E72="Sim",VLOOKUP(D72,'Inscrições'!D:H,5,FALSE),I72)</f>
        <v>Gestão municipal</v>
      </c>
    </row>
    <row r="73" ht="22.5" customHeight="1">
      <c r="A73" s="11">
        <v>45750.40029939815</v>
      </c>
      <c r="B73" s="12" t="s">
        <v>614</v>
      </c>
      <c r="C73" s="12" t="s">
        <v>512</v>
      </c>
      <c r="D73" s="12" t="s">
        <v>513</v>
      </c>
      <c r="E73" s="12" t="s">
        <v>30</v>
      </c>
      <c r="M73" s="16" t="str">
        <f>IF(E73="Não",H73,VLOOKUP(D73,'Inscrições'!D:G,4,FALSE))</f>
        <v>Naviraí</v>
      </c>
      <c r="N73" s="5" t="str">
        <f>IF(E73="Sim",VLOOKUP(D73,'Inscrições'!D:H,5,FALSE),I73)</f>
        <v>CACS-FUNDEB</v>
      </c>
    </row>
    <row r="74" ht="22.5" customHeight="1">
      <c r="A74" s="18">
        <v>45749.40998138889</v>
      </c>
      <c r="B74" s="19" t="s">
        <v>615</v>
      </c>
      <c r="C74" s="19" t="s">
        <v>616</v>
      </c>
      <c r="D74" s="19" t="s">
        <v>617</v>
      </c>
      <c r="E74" s="19" t="s">
        <v>90</v>
      </c>
      <c r="F74" s="22">
        <v>28376.0</v>
      </c>
      <c r="G74" s="19" t="s">
        <v>618</v>
      </c>
      <c r="H74" s="19" t="s">
        <v>55</v>
      </c>
      <c r="I74" s="19" t="s">
        <v>14</v>
      </c>
      <c r="J74" s="19" t="s">
        <v>619</v>
      </c>
      <c r="K74" s="19" t="s">
        <v>620</v>
      </c>
      <c r="L74" s="5"/>
      <c r="M74" s="5" t="str">
        <f>IF(E74="Não",H74,VLOOKUP(D74,'Inscrições'!D:G,4,FALSE))</f>
        <v>Itaporã</v>
      </c>
      <c r="N74" s="5" t="str">
        <f>IF(E74="Sim",VLOOKUP(D74,'Inscrições'!D:H,5,FALSE),I74)</f>
        <v>Gestão municipal</v>
      </c>
    </row>
    <row r="75" ht="22.5" customHeight="1">
      <c r="A75" s="11">
        <v>45750.39475864584</v>
      </c>
      <c r="B75" s="12" t="s">
        <v>558</v>
      </c>
      <c r="C75" s="12" t="s">
        <v>559</v>
      </c>
      <c r="D75" s="12" t="s">
        <v>555</v>
      </c>
      <c r="E75" s="12" t="s">
        <v>30</v>
      </c>
      <c r="M75" s="16" t="str">
        <f>IF(E75="Não",H75,VLOOKUP(D75,'Inscrições'!D:G,4,FALSE))</f>
        <v>Mundo Novo</v>
      </c>
      <c r="N75" s="5" t="str">
        <f>IF(E75="Sim",VLOOKUP(D75,'Inscrições'!D:H,5,FALSE),I75)</f>
        <v>Gestão municipal</v>
      </c>
    </row>
    <row r="76" ht="22.5" customHeight="1">
      <c r="A76" s="18">
        <v>45749.40301592593</v>
      </c>
      <c r="B76" s="19" t="s">
        <v>356</v>
      </c>
      <c r="C76" s="19" t="s">
        <v>621</v>
      </c>
      <c r="D76" s="19" t="s">
        <v>360</v>
      </c>
      <c r="E76" s="19" t="s">
        <v>30</v>
      </c>
      <c r="F76" s="5"/>
      <c r="G76" s="5"/>
      <c r="H76" s="5"/>
      <c r="I76" s="5"/>
      <c r="J76" s="5"/>
      <c r="K76" s="5"/>
      <c r="L76" s="5"/>
      <c r="M76" s="5" t="str">
        <f>IF(E76="Não",H76,VLOOKUP(D76,'Inscrições'!D:G,4,FALSE))</f>
        <v>Anaurilândia</v>
      </c>
      <c r="N76" s="5" t="str">
        <f>IF(E76="Sim",VLOOKUP(D76,'Inscrições'!D:H,5,FALSE),I76)</f>
        <v>Gestão municipal</v>
      </c>
    </row>
    <row r="77" ht="22.5" customHeight="1">
      <c r="A77" s="11">
        <v>45749.69866550926</v>
      </c>
      <c r="B77" s="12" t="s">
        <v>220</v>
      </c>
      <c r="C77" s="12" t="s">
        <v>221</v>
      </c>
      <c r="D77" s="12" t="s">
        <v>222</v>
      </c>
      <c r="E77" s="12" t="s">
        <v>30</v>
      </c>
      <c r="M77" s="16" t="str">
        <f>IF(E77="Não",H77,VLOOKUP(D77,'Inscrições'!D:G,4,FALSE))</f>
        <v>Batayporã</v>
      </c>
      <c r="N77" s="5" t="str">
        <f>IF(E77="Sim",VLOOKUP(D77,'Inscrições'!D:H,5,FALSE),I77)</f>
        <v>Gestão municipal</v>
      </c>
    </row>
    <row r="78" ht="22.5" customHeight="1">
      <c r="A78" s="18">
        <v>45749.400063402776</v>
      </c>
      <c r="B78" s="19" t="s">
        <v>238</v>
      </c>
      <c r="C78" s="19" t="s">
        <v>622</v>
      </c>
      <c r="D78" s="19" t="s">
        <v>240</v>
      </c>
      <c r="E78" s="19" t="s">
        <v>30</v>
      </c>
      <c r="F78" s="5"/>
      <c r="G78" s="5"/>
      <c r="H78" s="5"/>
      <c r="I78" s="5"/>
      <c r="J78" s="5"/>
      <c r="K78" s="5"/>
      <c r="L78" s="5"/>
      <c r="M78" s="5" t="str">
        <f>IF(E78="Não",H78,VLOOKUP(D78,'Inscrições'!D:G,4,FALSE))</f>
        <v>Itaquiraí</v>
      </c>
      <c r="N78" s="5" t="str">
        <f>IF(E78="Sim",VLOOKUP(D78,'Inscrições'!D:H,5,FALSE),I78)</f>
        <v>Gestão municipal</v>
      </c>
    </row>
    <row r="79" ht="22.5" customHeight="1">
      <c r="A79" s="18">
        <v>45749.40531969907</v>
      </c>
      <c r="B79" s="19" t="s">
        <v>238</v>
      </c>
      <c r="C79" s="19" t="s">
        <v>622</v>
      </c>
      <c r="D79" s="19" t="s">
        <v>240</v>
      </c>
      <c r="E79" s="19" t="s">
        <v>30</v>
      </c>
      <c r="F79" s="5"/>
      <c r="G79" s="5"/>
      <c r="H79" s="5"/>
      <c r="I79" s="5"/>
      <c r="J79" s="5"/>
      <c r="K79" s="5"/>
      <c r="L79" s="5"/>
      <c r="M79" s="5" t="str">
        <f>IF(E79="Não",H79,VLOOKUP(D79,'Inscrições'!D:G,4,FALSE))</f>
        <v>Itaquiraí</v>
      </c>
      <c r="N79" s="5" t="str">
        <f>IF(E79="Sim",VLOOKUP(D79,'Inscrições'!D:H,5,FALSE),I79)</f>
        <v>Gestão municipal</v>
      </c>
    </row>
    <row r="80" ht="22.5" customHeight="1">
      <c r="A80" s="11">
        <v>45749.50488857639</v>
      </c>
      <c r="B80" s="12" t="s">
        <v>238</v>
      </c>
      <c r="C80" s="12" t="s">
        <v>622</v>
      </c>
      <c r="D80" s="12" t="s">
        <v>240</v>
      </c>
      <c r="E80" s="12" t="s">
        <v>30</v>
      </c>
      <c r="M80" s="5" t="str">
        <f>IF(E80="Não",H80,VLOOKUP(D80,'Inscrições'!D:G,4,FALSE))</f>
        <v>Itaquiraí</v>
      </c>
      <c r="N80" s="5" t="str">
        <f>IF(E80="Sim",VLOOKUP(D80,'Inscrições'!D:H,5,FALSE),I80)</f>
        <v>Gestão municipal</v>
      </c>
    </row>
    <row r="81" ht="22.5" customHeight="1">
      <c r="A81" s="11">
        <v>45750.4024715625</v>
      </c>
      <c r="B81" s="12" t="s">
        <v>623</v>
      </c>
      <c r="C81" s="12" t="s">
        <v>624</v>
      </c>
      <c r="D81" s="12" t="s">
        <v>625</v>
      </c>
      <c r="E81" s="12" t="s">
        <v>90</v>
      </c>
      <c r="F81" s="21">
        <v>28771.0</v>
      </c>
      <c r="G81" s="12" t="s">
        <v>626</v>
      </c>
      <c r="H81" s="12" t="s">
        <v>65</v>
      </c>
      <c r="I81" s="12" t="s">
        <v>13</v>
      </c>
      <c r="L81" s="12" t="s">
        <v>157</v>
      </c>
      <c r="M81" s="16" t="str">
        <f>IF(E81="Não",H81,VLOOKUP(D81,'Inscrições'!D:G,4,FALSE))</f>
        <v>Japorã</v>
      </c>
      <c r="N81" s="5" t="str">
        <f>IF(E81="Sim",VLOOKUP(D81,'Inscrições'!D:H,5,FALSE),I81)</f>
        <v>CACS-FUNDEB</v>
      </c>
    </row>
    <row r="82" ht="22.5" customHeight="1">
      <c r="A82" s="18">
        <v>45749.40995065973</v>
      </c>
      <c r="B82" s="19" t="s">
        <v>627</v>
      </c>
      <c r="C82" s="19" t="s">
        <v>628</v>
      </c>
      <c r="D82" s="19" t="s">
        <v>113</v>
      </c>
      <c r="E82" s="19" t="s">
        <v>30</v>
      </c>
      <c r="F82" s="5"/>
      <c r="G82" s="5"/>
      <c r="H82" s="5"/>
      <c r="I82" s="5"/>
      <c r="J82" s="5"/>
      <c r="K82" s="5"/>
      <c r="L82" s="5"/>
      <c r="M82" s="5" t="str">
        <f>IF(E82="Não",H82,VLOOKUP(D82,'Inscrições'!D:G,4,FALSE))</f>
        <v>Itaporã</v>
      </c>
      <c r="N82" s="5" t="str">
        <f>IF(E82="Sim",VLOOKUP(D82,'Inscrições'!D:H,5,FALSE),I82)</f>
        <v>Gestão municipal</v>
      </c>
    </row>
    <row r="83" ht="22.5" customHeight="1">
      <c r="A83" s="11">
        <v>45750.414317002316</v>
      </c>
      <c r="B83" s="12" t="s">
        <v>629</v>
      </c>
      <c r="C83" s="12" t="s">
        <v>630</v>
      </c>
      <c r="D83" s="12" t="s">
        <v>199</v>
      </c>
      <c r="E83" s="12" t="s">
        <v>30</v>
      </c>
      <c r="M83" s="16" t="str">
        <f>IF(E83="Não",H83,VLOOKUP(D83,'Inscrições'!D:G,4,FALSE))</f>
        <v>Jateí</v>
      </c>
      <c r="N83" s="5" t="str">
        <f>IF(E83="Sim",VLOOKUP(D83,'Inscrições'!D:H,5,FALSE),I83)</f>
        <v>CACS-FUNDEB</v>
      </c>
    </row>
    <row r="84" ht="22.5" customHeight="1">
      <c r="A84" s="11">
        <v>45749.5023171412</v>
      </c>
      <c r="B84" s="12" t="s">
        <v>388</v>
      </c>
      <c r="C84" s="12" t="s">
        <v>631</v>
      </c>
      <c r="D84" s="12" t="s">
        <v>390</v>
      </c>
      <c r="E84" s="12" t="s">
        <v>30</v>
      </c>
      <c r="M84" s="5" t="str">
        <f>IF(E84="Não",H84,VLOOKUP(D84,'Inscrições'!D:G,4,FALSE))</f>
        <v>Dourados</v>
      </c>
      <c r="N84" s="5" t="str">
        <f>IF(E84="Sim",VLOOKUP(D84,'Inscrições'!D:H,5,FALSE),I84)</f>
        <v>CACS-FUNDEB</v>
      </c>
    </row>
    <row r="85" ht="22.5" customHeight="1">
      <c r="A85" s="11">
        <v>45749.541433391205</v>
      </c>
      <c r="B85" s="12" t="s">
        <v>388</v>
      </c>
      <c r="C85" s="12" t="s">
        <v>631</v>
      </c>
      <c r="D85" s="12" t="s">
        <v>390</v>
      </c>
      <c r="E85" s="12" t="s">
        <v>30</v>
      </c>
      <c r="M85" s="16" t="str">
        <f>IF(E85="Não",H85,VLOOKUP(D85,'Inscrições'!D:G,4,FALSE))</f>
        <v>Dourados</v>
      </c>
      <c r="N85" s="5" t="str">
        <f>IF(E85="Sim",VLOOKUP(D85,'Inscrições'!D:H,5,FALSE),I85)</f>
        <v>CACS-FUNDEB</v>
      </c>
    </row>
    <row r="86" ht="22.5" customHeight="1">
      <c r="A86" s="11">
        <v>45749.54447306713</v>
      </c>
      <c r="B86" s="12" t="s">
        <v>305</v>
      </c>
      <c r="C86" s="12" t="s">
        <v>306</v>
      </c>
      <c r="D86" s="12" t="s">
        <v>307</v>
      </c>
      <c r="E86" s="12" t="s">
        <v>30</v>
      </c>
      <c r="M86" s="16" t="str">
        <f>IF(E86="Não",H86,VLOOKUP(D86,'Inscrições'!D:G,4,FALSE))</f>
        <v>Amambai</v>
      </c>
      <c r="N86" s="5" t="str">
        <f>IF(E86="Sim",VLOOKUP(D86,'Inscrições'!D:H,5,FALSE),I86)</f>
        <v>CACS-FUNDEB</v>
      </c>
    </row>
    <row r="87" ht="22.5" customHeight="1">
      <c r="A87" s="11">
        <v>45750.396746342594</v>
      </c>
      <c r="B87" s="12" t="s">
        <v>298</v>
      </c>
      <c r="C87" s="12" t="s">
        <v>632</v>
      </c>
      <c r="D87" s="12" t="s">
        <v>300</v>
      </c>
      <c r="E87" s="12" t="s">
        <v>30</v>
      </c>
      <c r="M87" s="16" t="str">
        <f>IF(E87="Não",H87,VLOOKUP(D87,'Inscrições'!D:G,4,FALSE))</f>
        <v>Maracaju</v>
      </c>
      <c r="N87" s="5" t="str">
        <f>IF(E87="Sim",VLOOKUP(D87,'Inscrições'!D:H,5,FALSE),I87)</f>
        <v>CACS-FUNDEB</v>
      </c>
    </row>
    <row r="88" ht="22.5" customHeight="1">
      <c r="A88" s="18">
        <v>45749.39977505787</v>
      </c>
      <c r="B88" s="19" t="s">
        <v>208</v>
      </c>
      <c r="C88" s="19" t="s">
        <v>209</v>
      </c>
      <c r="D88" s="19" t="s">
        <v>210</v>
      </c>
      <c r="E88" s="19" t="s">
        <v>30</v>
      </c>
      <c r="F88" s="5"/>
      <c r="G88" s="5"/>
      <c r="H88" s="5"/>
      <c r="I88" s="5"/>
      <c r="J88" s="5"/>
      <c r="K88" s="5"/>
      <c r="L88" s="5"/>
      <c r="M88" s="5" t="str">
        <f>IF(E88="Não",H88,VLOOKUP(D88,'Inscrições'!D:G,4,FALSE))</f>
        <v>Caarapó</v>
      </c>
      <c r="N88" s="5" t="str">
        <f>IF(E88="Sim",VLOOKUP(D88,'Inscrições'!D:H,5,FALSE),I88)</f>
        <v>CACS-FUNDEB</v>
      </c>
    </row>
    <row r="89" ht="22.5" customHeight="1">
      <c r="A89" s="11">
        <v>45750.39882890046</v>
      </c>
      <c r="B89" s="12" t="s">
        <v>125</v>
      </c>
      <c r="C89" s="12" t="s">
        <v>126</v>
      </c>
      <c r="D89" s="12" t="s">
        <v>127</v>
      </c>
      <c r="E89" s="12" t="s">
        <v>30</v>
      </c>
      <c r="M89" s="16" t="str">
        <f>IF(E89="Não",H89,VLOOKUP(D89,'Inscrições'!D:G,4,FALSE))</f>
        <v>Nova Andradina</v>
      </c>
      <c r="N89" s="5" t="str">
        <f>IF(E89="Sim",VLOOKUP(D89,'Inscrições'!D:H,5,FALSE),I89)</f>
        <v>Gestão municipal</v>
      </c>
    </row>
    <row r="90" ht="22.5" customHeight="1">
      <c r="A90" s="11">
        <v>45749.438498125004</v>
      </c>
      <c r="B90" s="12" t="s">
        <v>517</v>
      </c>
      <c r="C90" s="12" t="s">
        <v>518</v>
      </c>
      <c r="D90" s="12" t="s">
        <v>519</v>
      </c>
      <c r="E90" s="12" t="s">
        <v>30</v>
      </c>
      <c r="M90" s="5" t="str">
        <f>IF(E90="Não",H90,VLOOKUP(D90,'Inscrições'!D:G,4,FALSE))</f>
        <v>Cassilândia</v>
      </c>
      <c r="N90" s="5" t="str">
        <f>IF(E90="Sim",VLOOKUP(D90,'Inscrições'!D:H,5,FALSE),I90)</f>
        <v>Gestão municipal</v>
      </c>
    </row>
    <row r="91" ht="22.5" customHeight="1">
      <c r="A91" s="11">
        <v>45750.39362101852</v>
      </c>
      <c r="B91" s="12" t="s">
        <v>517</v>
      </c>
      <c r="C91" s="12" t="s">
        <v>518</v>
      </c>
      <c r="D91" s="12" t="s">
        <v>519</v>
      </c>
      <c r="E91" s="12" t="s">
        <v>30</v>
      </c>
      <c r="M91" s="16" t="str">
        <f>IF(E91="Não",H91,VLOOKUP(D91,'Inscrições'!D:G,4,FALSE))</f>
        <v>Cassilândia</v>
      </c>
      <c r="N91" s="5" t="str">
        <f>IF(E91="Sim",VLOOKUP(D91,'Inscrições'!D:H,5,FALSE),I91)</f>
        <v>Gestão municipal</v>
      </c>
    </row>
    <row r="92" ht="22.5" customHeight="1">
      <c r="A92" s="18">
        <v>45749.40011267361</v>
      </c>
      <c r="B92" s="19" t="s">
        <v>406</v>
      </c>
      <c r="C92" s="19" t="s">
        <v>633</v>
      </c>
      <c r="D92" s="19" t="s">
        <v>408</v>
      </c>
      <c r="E92" s="19" t="s">
        <v>30</v>
      </c>
      <c r="F92" s="5"/>
      <c r="G92" s="5"/>
      <c r="H92" s="5"/>
      <c r="I92" s="5"/>
      <c r="J92" s="5"/>
      <c r="K92" s="5"/>
      <c r="L92" s="5"/>
      <c r="M92" s="5" t="str">
        <f>IF(E92="Não",H92,VLOOKUP(D92,'Inscrições'!D:G,4,FALSE))</f>
        <v>Caarapó</v>
      </c>
      <c r="N92" s="5" t="str">
        <f>IF(E92="Sim",VLOOKUP(D92,'Inscrições'!D:H,5,FALSE),I92)</f>
        <v>Gestão municipal</v>
      </c>
    </row>
    <row r="93" ht="22.5" customHeight="1">
      <c r="A93" s="11">
        <v>45750.398099247686</v>
      </c>
      <c r="B93" s="12" t="s">
        <v>507</v>
      </c>
      <c r="C93" s="12" t="s">
        <v>508</v>
      </c>
      <c r="D93" s="12" t="s">
        <v>509</v>
      </c>
      <c r="E93" s="12" t="s">
        <v>30</v>
      </c>
      <c r="M93" s="16" t="str">
        <f>IF(E93="Não",H93,VLOOKUP(D93,'Inscrições'!D:G,4,FALSE))</f>
        <v>Naviraí</v>
      </c>
      <c r="N93" s="5" t="str">
        <f>IF(E93="Sim",VLOOKUP(D93,'Inscrições'!D:H,5,FALSE),I93)</f>
        <v>CACS-FUNDEB</v>
      </c>
    </row>
    <row r="94" ht="22.5" customHeight="1">
      <c r="A94" s="11">
        <v>45750.40111752315</v>
      </c>
      <c r="B94" s="12" t="s">
        <v>151</v>
      </c>
      <c r="C94" s="12" t="s">
        <v>152</v>
      </c>
      <c r="D94" s="12" t="s">
        <v>154</v>
      </c>
      <c r="E94" s="12" t="s">
        <v>30</v>
      </c>
      <c r="M94" s="16" t="str">
        <f>IF(E94="Não",H94,VLOOKUP(D94,'Inscrições'!D:G,4,FALSE))</f>
        <v>Nova Andradina</v>
      </c>
      <c r="N94" s="5" t="str">
        <f>IF(E94="Sim",VLOOKUP(D94,'Inscrições'!D:H,5,FALSE),I94)</f>
        <v>CACS-FUNDEB</v>
      </c>
    </row>
    <row r="95" ht="22.5" customHeight="1">
      <c r="A95" s="11">
        <v>45750.40181380787</v>
      </c>
      <c r="B95" s="12" t="s">
        <v>276</v>
      </c>
      <c r="C95" s="12" t="s">
        <v>278</v>
      </c>
      <c r="D95" s="12" t="s">
        <v>280</v>
      </c>
      <c r="E95" s="12" t="s">
        <v>30</v>
      </c>
      <c r="M95" s="16" t="str">
        <f>IF(E95="Não",H95,VLOOKUP(D95,'Inscrições'!D:G,4,FALSE))</f>
        <v>Nova Andradina</v>
      </c>
      <c r="N95" s="5" t="str">
        <f>IF(E95="Sim",VLOOKUP(D95,'Inscrições'!D:H,5,FALSE),I95)</f>
        <v>CACS-FUNDEB</v>
      </c>
    </row>
    <row r="96" ht="22.5" customHeight="1">
      <c r="A96" s="11">
        <v>45750.412661724535</v>
      </c>
      <c r="B96" s="12" t="s">
        <v>634</v>
      </c>
      <c r="C96" s="12" t="s">
        <v>635</v>
      </c>
      <c r="D96" s="12" t="s">
        <v>348</v>
      </c>
      <c r="E96" s="12" t="s">
        <v>30</v>
      </c>
      <c r="M96" s="16" t="str">
        <f>IF(E96="Não",H96,VLOOKUP(D96,'Inscrições'!D:G,4,FALSE))</f>
        <v>Juti</v>
      </c>
      <c r="N96" s="5" t="str">
        <f>IF(E96="Sim",VLOOKUP(D96,'Inscrições'!D:H,5,FALSE),I96)</f>
        <v>Gestão municipal</v>
      </c>
    </row>
    <row r="97" ht="22.5" customHeight="1">
      <c r="A97" s="11">
        <v>45749.46413666666</v>
      </c>
      <c r="B97" s="12" t="s">
        <v>538</v>
      </c>
      <c r="C97" s="12" t="s">
        <v>539</v>
      </c>
      <c r="D97" s="12" t="s">
        <v>540</v>
      </c>
      <c r="E97" s="12" t="s">
        <v>30</v>
      </c>
      <c r="M97" s="5" t="str">
        <f>IF(E97="Não",H97,VLOOKUP(D97,'Inscrições'!D:G,4,FALSE))</f>
        <v>Aral Moreira</v>
      </c>
      <c r="N97" s="5" t="str">
        <f>IF(E97="Sim",VLOOKUP(D97,'Inscrições'!D:H,5,FALSE),I97)</f>
        <v>Gestão municipal</v>
      </c>
    </row>
    <row r="98" ht="22.5" customHeight="1">
      <c r="A98" s="11">
        <v>45749.69258537037</v>
      </c>
      <c r="B98" s="12" t="s">
        <v>538</v>
      </c>
      <c r="C98" s="12" t="s">
        <v>539</v>
      </c>
      <c r="D98" s="12" t="s">
        <v>540</v>
      </c>
      <c r="E98" s="12" t="s">
        <v>30</v>
      </c>
      <c r="M98" s="16" t="str">
        <f>IF(E98="Não",H98,VLOOKUP(D98,'Inscrições'!D:G,4,FALSE))</f>
        <v>Aral Moreira</v>
      </c>
      <c r="N98" s="5" t="str">
        <f>IF(E98="Sim",VLOOKUP(D98,'Inscrições'!D:H,5,FALSE),I98)</f>
        <v>Gestão municipal</v>
      </c>
    </row>
    <row r="99" ht="22.5" customHeight="1">
      <c r="A99" s="11">
        <v>45750.39965071759</v>
      </c>
      <c r="B99" s="12" t="s">
        <v>576</v>
      </c>
      <c r="C99" s="12" t="s">
        <v>636</v>
      </c>
      <c r="D99" s="12" t="s">
        <v>580</v>
      </c>
      <c r="E99" s="12" t="s">
        <v>30</v>
      </c>
      <c r="M99" s="16" t="str">
        <f>IF(E99="Não",H99,VLOOKUP(D99,'Inscrições'!D:G,4,FALSE))</f>
        <v>Ponta Porã</v>
      </c>
      <c r="N99" s="5" t="str">
        <f>IF(E99="Sim",VLOOKUP(D99,'Inscrições'!D:H,5,FALSE),I99)</f>
        <v>CACS-FUNDEB</v>
      </c>
    </row>
    <row r="100" ht="22.5" customHeight="1">
      <c r="A100" s="11">
        <v>45750.54205853009</v>
      </c>
      <c r="B100" s="12" t="s">
        <v>283</v>
      </c>
      <c r="C100" s="12" t="s">
        <v>637</v>
      </c>
      <c r="D100" s="12" t="s">
        <v>288</v>
      </c>
      <c r="E100" s="12" t="s">
        <v>30</v>
      </c>
      <c r="M100" s="16" t="str">
        <f>IF(E100="Não",H100,VLOOKUP(D100,'Inscrições'!D:G,4,FALSE))</f>
        <v>Novo Horizonte do Sul</v>
      </c>
      <c r="N100" s="16" t="str">
        <f>IF(E100="Sim",VLOOKUP(D100,'Inscrições'!D:H,5,FALSE),I100)</f>
        <v>CACS-FUNDEB</v>
      </c>
    </row>
    <row r="101" ht="22.5" customHeight="1">
      <c r="A101" s="11">
        <v>45750.39895590278</v>
      </c>
      <c r="B101" s="12" t="s">
        <v>138</v>
      </c>
      <c r="C101" s="12" t="s">
        <v>139</v>
      </c>
      <c r="D101" s="12" t="s">
        <v>140</v>
      </c>
      <c r="E101" s="12" t="s">
        <v>30</v>
      </c>
      <c r="M101" s="16" t="str">
        <f>IF(E101="Não",H101,VLOOKUP(D101,'Inscrições'!D:G,4,FALSE))</f>
        <v>Naviraí</v>
      </c>
      <c r="N101" s="5" t="str">
        <f>IF(E101="Sim",VLOOKUP(D101,'Inscrições'!D:H,5,FALSE),I101)</f>
        <v>Gestão municipal</v>
      </c>
    </row>
    <row r="102" ht="22.5" customHeight="1">
      <c r="A102" s="11">
        <v>45750.54505862268</v>
      </c>
      <c r="B102" s="12" t="s">
        <v>226</v>
      </c>
      <c r="C102" s="12" t="s">
        <v>638</v>
      </c>
      <c r="D102" s="12" t="s">
        <v>639</v>
      </c>
      <c r="E102" s="12" t="s">
        <v>90</v>
      </c>
      <c r="F102" s="21">
        <v>28811.0</v>
      </c>
      <c r="G102" s="12" t="s">
        <v>640</v>
      </c>
      <c r="H102" s="12" t="s">
        <v>96</v>
      </c>
      <c r="I102" s="12" t="s">
        <v>14</v>
      </c>
      <c r="J102" s="12" t="s">
        <v>641</v>
      </c>
      <c r="M102" s="16" t="str">
        <f>IF(E102="Não",H102,VLOOKUP(D102,'Inscrições'!D:G,4,FALSE))</f>
        <v>Novo Horizonte do Sul</v>
      </c>
      <c r="N102" s="16" t="str">
        <f>IF(E102="Sim",VLOOKUP(D102,'Inscrições'!D:H,5,FALSE),I102)</f>
        <v>Gestão municipal</v>
      </c>
    </row>
    <row r="103" ht="22.5" customHeight="1">
      <c r="A103" s="11">
        <v>45749.4209621412</v>
      </c>
      <c r="B103" s="12" t="s">
        <v>642</v>
      </c>
      <c r="C103" s="12" t="s">
        <v>643</v>
      </c>
      <c r="D103" s="12" t="s">
        <v>644</v>
      </c>
      <c r="E103" s="12" t="s">
        <v>90</v>
      </c>
      <c r="F103" s="21">
        <v>30211.0</v>
      </c>
      <c r="G103" s="12" t="s">
        <v>645</v>
      </c>
      <c r="H103" s="12" t="s">
        <v>115</v>
      </c>
      <c r="I103" s="12" t="s">
        <v>14</v>
      </c>
      <c r="J103" s="12" t="s">
        <v>646</v>
      </c>
      <c r="K103" s="12" t="s">
        <v>647</v>
      </c>
      <c r="M103" s="5" t="str">
        <f>IF(E103="Não",H103,VLOOKUP(D103,'Inscrições'!D:G,4,FALSE))</f>
        <v>Paraíso das Águas</v>
      </c>
      <c r="N103" s="5" t="str">
        <f>IF(E103="Sim",VLOOKUP(D103,'Inscrições'!D:H,5,FALSE),I103)</f>
        <v>Gestão municipal</v>
      </c>
    </row>
    <row r="104" ht="22.5" customHeight="1">
      <c r="A104" s="18">
        <v>45749.4056534375</v>
      </c>
      <c r="B104" s="19" t="s">
        <v>648</v>
      </c>
      <c r="C104" s="19" t="s">
        <v>459</v>
      </c>
      <c r="D104" s="19" t="s">
        <v>460</v>
      </c>
      <c r="E104" s="19" t="s">
        <v>30</v>
      </c>
      <c r="F104" s="5"/>
      <c r="G104" s="5"/>
      <c r="H104" s="5"/>
      <c r="I104" s="5"/>
      <c r="J104" s="5"/>
      <c r="K104" s="5"/>
      <c r="L104" s="5"/>
      <c r="M104" s="5" t="str">
        <f>IF(E104="Não",H104,VLOOKUP(D104,'Inscrições'!D:G,4,FALSE))</f>
        <v>Amambai</v>
      </c>
      <c r="N104" s="5" t="str">
        <f>IF(E104="Sim",VLOOKUP(D104,'Inscrições'!D:H,5,FALSE),I104)</f>
        <v>CACS-FUNDEB</v>
      </c>
    </row>
    <row r="105" ht="22.5" customHeight="1">
      <c r="A105" s="18">
        <v>45749.40850910879</v>
      </c>
      <c r="B105" s="19" t="s">
        <v>648</v>
      </c>
      <c r="C105" s="19" t="s">
        <v>459</v>
      </c>
      <c r="D105" s="19" t="s">
        <v>460</v>
      </c>
      <c r="E105" s="19" t="s">
        <v>30</v>
      </c>
      <c r="F105" s="5"/>
      <c r="G105" s="5"/>
      <c r="H105" s="5"/>
      <c r="I105" s="5"/>
      <c r="J105" s="5"/>
      <c r="K105" s="5"/>
      <c r="L105" s="5"/>
      <c r="M105" s="5" t="str">
        <f>IF(E105="Não",H105,VLOOKUP(D105,'Inscrições'!D:G,4,FALSE))</f>
        <v>Amambai</v>
      </c>
      <c r="N105" s="5" t="str">
        <f>IF(E105="Sim",VLOOKUP(D105,'Inscrições'!D:H,5,FALSE),I105)</f>
        <v>CACS-FUNDEB</v>
      </c>
    </row>
    <row r="106" ht="22.5" customHeight="1">
      <c r="A106" s="18">
        <v>45749.4000140625</v>
      </c>
      <c r="B106" s="19" t="s">
        <v>463</v>
      </c>
      <c r="C106" s="19" t="s">
        <v>464</v>
      </c>
      <c r="D106" s="19" t="s">
        <v>465</v>
      </c>
      <c r="E106" s="19" t="s">
        <v>30</v>
      </c>
      <c r="F106" s="5"/>
      <c r="G106" s="5"/>
      <c r="H106" s="5"/>
      <c r="I106" s="5"/>
      <c r="J106" s="5"/>
      <c r="K106" s="5"/>
      <c r="L106" s="5"/>
      <c r="M106" s="5" t="str">
        <f>IF(E106="Não",H106,VLOOKUP(D106,'Inscrições'!D:G,4,FALSE))</f>
        <v>Deodápolis</v>
      </c>
      <c r="N106" s="5" t="str">
        <f>IF(E106="Sim",VLOOKUP(D106,'Inscrições'!D:H,5,FALSE),I106)</f>
        <v>Gestão municipal</v>
      </c>
    </row>
    <row r="107" ht="22.5" customHeight="1">
      <c r="A107" s="11">
        <v>45750.54045702546</v>
      </c>
      <c r="B107" s="12" t="s">
        <v>649</v>
      </c>
      <c r="C107" s="12" t="s">
        <v>650</v>
      </c>
      <c r="D107" s="12" t="s">
        <v>651</v>
      </c>
      <c r="E107" s="12" t="s">
        <v>30</v>
      </c>
      <c r="M107" s="16" t="str">
        <f>IF(E107="Não",H107,VLOOKUP(D107,'Inscrições'!D:G,4,FALSE))</f>
        <v>#N/A</v>
      </c>
      <c r="N107" s="16" t="str">
        <f>IF(E107="Sim",VLOOKUP(D107,'Inscrições'!D:H,5,FALSE),I107)</f>
        <v>#N/A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9.0"/>
    <col customWidth="1" min="11" max="11" width="57.13"/>
  </cols>
  <sheetData>
    <row r="1" ht="22.5" customHeight="1">
      <c r="A1" s="2" t="s">
        <v>0</v>
      </c>
      <c r="B1" s="2" t="s">
        <v>4</v>
      </c>
      <c r="C1" s="2" t="s">
        <v>6</v>
      </c>
      <c r="D1" s="2" t="s">
        <v>9</v>
      </c>
      <c r="E1" s="2" t="s">
        <v>12</v>
      </c>
      <c r="F1" s="2" t="s">
        <v>22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21</v>
      </c>
    </row>
    <row r="2" ht="22.5" customHeight="1">
      <c r="A2" s="13">
        <v>45733.69331619213</v>
      </c>
      <c r="B2" s="5" t="s">
        <v>31</v>
      </c>
      <c r="C2" s="5" t="s">
        <v>33</v>
      </c>
      <c r="D2" s="5" t="s">
        <v>34</v>
      </c>
      <c r="E2" s="14">
        <v>31113.0</v>
      </c>
      <c r="F2" s="5" t="s">
        <v>36</v>
      </c>
      <c r="G2" s="5" t="s">
        <v>37</v>
      </c>
      <c r="H2" s="5" t="s">
        <v>14</v>
      </c>
      <c r="I2" s="5" t="s">
        <v>39</v>
      </c>
      <c r="J2" s="5"/>
      <c r="K2" s="5"/>
    </row>
    <row r="3" ht="22.5" customHeight="1">
      <c r="A3" s="13">
        <v>45733.69585502315</v>
      </c>
      <c r="B3" s="5" t="s">
        <v>44</v>
      </c>
      <c r="C3" s="5" t="s">
        <v>45</v>
      </c>
      <c r="D3" s="5" t="s">
        <v>47</v>
      </c>
      <c r="E3" s="14">
        <v>30068.0</v>
      </c>
      <c r="F3" s="5" t="s">
        <v>48</v>
      </c>
      <c r="G3" s="5" t="s">
        <v>37</v>
      </c>
      <c r="H3" s="5" t="s">
        <v>13</v>
      </c>
      <c r="I3" s="5"/>
      <c r="J3" s="5"/>
      <c r="K3" s="5" t="s">
        <v>51</v>
      </c>
    </row>
    <row r="4" ht="22.5" customHeight="1">
      <c r="A4" s="13">
        <v>45733.699468182866</v>
      </c>
      <c r="B4" s="5" t="s">
        <v>53</v>
      </c>
      <c r="C4" s="5" t="s">
        <v>54</v>
      </c>
      <c r="D4" s="5" t="s">
        <v>56</v>
      </c>
      <c r="E4" s="14">
        <v>32243.0</v>
      </c>
      <c r="F4" s="5" t="s">
        <v>57</v>
      </c>
      <c r="G4" s="5" t="s">
        <v>37</v>
      </c>
      <c r="H4" s="5" t="s">
        <v>14</v>
      </c>
      <c r="I4" s="5" t="s">
        <v>61</v>
      </c>
      <c r="J4" s="5"/>
      <c r="K4" s="5"/>
    </row>
    <row r="5" ht="22.5" customHeight="1">
      <c r="A5" s="13">
        <v>45734.35210836805</v>
      </c>
      <c r="B5" s="5" t="s">
        <v>64</v>
      </c>
      <c r="C5" s="5" t="s">
        <v>66</v>
      </c>
      <c r="D5" s="5" t="s">
        <v>67</v>
      </c>
      <c r="E5" s="14">
        <v>34586.0</v>
      </c>
      <c r="F5" s="5" t="s">
        <v>69</v>
      </c>
      <c r="G5" s="5" t="s">
        <v>70</v>
      </c>
      <c r="H5" s="5" t="s">
        <v>14</v>
      </c>
      <c r="I5" s="5" t="s">
        <v>71</v>
      </c>
      <c r="J5" s="5" t="s">
        <v>73</v>
      </c>
      <c r="K5" s="5"/>
    </row>
    <row r="6" ht="22.5" customHeight="1">
      <c r="A6" s="13">
        <v>45734.35499594908</v>
      </c>
      <c r="B6" s="5" t="s">
        <v>75</v>
      </c>
      <c r="C6" s="5" t="s">
        <v>76</v>
      </c>
      <c r="D6" s="5" t="s">
        <v>77</v>
      </c>
      <c r="E6" s="14">
        <v>36339.0</v>
      </c>
      <c r="F6" s="5" t="s">
        <v>78</v>
      </c>
      <c r="G6" s="5" t="s">
        <v>70</v>
      </c>
      <c r="H6" s="5" t="s">
        <v>14</v>
      </c>
      <c r="I6" s="5" t="s">
        <v>80</v>
      </c>
      <c r="J6" s="5" t="s">
        <v>81</v>
      </c>
      <c r="K6" s="5"/>
    </row>
    <row r="7" ht="22.5" customHeight="1">
      <c r="A7" s="13">
        <v>45734.42081329861</v>
      </c>
      <c r="B7" s="5" t="s">
        <v>85</v>
      </c>
      <c r="C7" s="5" t="s">
        <v>87</v>
      </c>
      <c r="D7" s="5" t="s">
        <v>89</v>
      </c>
      <c r="E7" s="14">
        <v>22821.0</v>
      </c>
      <c r="F7" s="5" t="s">
        <v>91</v>
      </c>
      <c r="G7" s="5" t="s">
        <v>55</v>
      </c>
      <c r="H7" s="5" t="s">
        <v>14</v>
      </c>
      <c r="I7" s="5" t="s">
        <v>94</v>
      </c>
      <c r="J7" s="5"/>
      <c r="K7" s="5"/>
    </row>
    <row r="8" ht="22.5" customHeight="1">
      <c r="A8" s="13">
        <v>45734.422735625005</v>
      </c>
      <c r="B8" s="5" t="s">
        <v>97</v>
      </c>
      <c r="C8" s="5" t="s">
        <v>98</v>
      </c>
      <c r="D8" s="5" t="s">
        <v>99</v>
      </c>
      <c r="E8" s="14">
        <v>26088.0</v>
      </c>
      <c r="F8" s="5" t="s">
        <v>101</v>
      </c>
      <c r="G8" s="5" t="s">
        <v>63</v>
      </c>
      <c r="H8" s="5" t="s">
        <v>14</v>
      </c>
      <c r="I8" s="5" t="s">
        <v>103</v>
      </c>
      <c r="J8" s="5"/>
      <c r="K8" s="5"/>
    </row>
    <row r="9" ht="22.5" customHeight="1">
      <c r="A9" s="13">
        <v>45734.426023761574</v>
      </c>
      <c r="B9" s="5" t="s">
        <v>110</v>
      </c>
      <c r="C9" s="5" t="s">
        <v>111</v>
      </c>
      <c r="D9" s="5" t="s">
        <v>113</v>
      </c>
      <c r="E9" s="14">
        <v>27677.0</v>
      </c>
      <c r="F9" s="5" t="s">
        <v>114</v>
      </c>
      <c r="G9" s="5" t="s">
        <v>55</v>
      </c>
      <c r="H9" s="5" t="s">
        <v>14</v>
      </c>
      <c r="I9" s="5" t="s">
        <v>116</v>
      </c>
      <c r="J9" s="5"/>
      <c r="K9" s="5"/>
    </row>
    <row r="10" ht="22.5" customHeight="1">
      <c r="A10" s="13">
        <v>45734.474377418985</v>
      </c>
      <c r="B10" s="5" t="s">
        <v>117</v>
      </c>
      <c r="C10" s="5" t="s">
        <v>118</v>
      </c>
      <c r="D10" s="5" t="s">
        <v>119</v>
      </c>
      <c r="E10" s="14">
        <v>32021.0</v>
      </c>
      <c r="F10" s="5" t="s">
        <v>121</v>
      </c>
      <c r="G10" s="5" t="s">
        <v>63</v>
      </c>
      <c r="H10" s="5" t="s">
        <v>14</v>
      </c>
      <c r="I10" s="5" t="s">
        <v>124</v>
      </c>
      <c r="J10" s="5"/>
      <c r="K10" s="5"/>
    </row>
    <row r="11" ht="22.5" customHeight="1">
      <c r="A11" s="13">
        <v>45734.488081539355</v>
      </c>
      <c r="B11" s="5" t="s">
        <v>125</v>
      </c>
      <c r="C11" s="5" t="s">
        <v>126</v>
      </c>
      <c r="D11" s="5" t="s">
        <v>127</v>
      </c>
      <c r="E11" s="14">
        <v>28948.0</v>
      </c>
      <c r="F11" s="5" t="s">
        <v>128</v>
      </c>
      <c r="G11" s="5" t="s">
        <v>93</v>
      </c>
      <c r="H11" s="5" t="s">
        <v>14</v>
      </c>
      <c r="I11" s="5" t="s">
        <v>129</v>
      </c>
      <c r="J11" s="5"/>
      <c r="K11" s="5"/>
    </row>
    <row r="12" ht="22.5" customHeight="1">
      <c r="A12" s="13">
        <v>45734.508854803236</v>
      </c>
      <c r="B12" s="5" t="s">
        <v>130</v>
      </c>
      <c r="C12" s="5" t="s">
        <v>131</v>
      </c>
      <c r="D12" s="5" t="s">
        <v>132</v>
      </c>
      <c r="E12" s="14">
        <v>25783.0</v>
      </c>
      <c r="F12" s="5" t="s">
        <v>133</v>
      </c>
      <c r="G12" s="5" t="s">
        <v>55</v>
      </c>
      <c r="H12" s="5" t="s">
        <v>13</v>
      </c>
      <c r="I12" s="5"/>
      <c r="J12" s="5"/>
      <c r="K12" s="5" t="s">
        <v>136</v>
      </c>
    </row>
    <row r="13" ht="22.5" customHeight="1">
      <c r="A13" s="13">
        <v>45735.74298113426</v>
      </c>
      <c r="B13" s="5" t="s">
        <v>138</v>
      </c>
      <c r="C13" s="5" t="s">
        <v>139</v>
      </c>
      <c r="D13" s="5" t="s">
        <v>140</v>
      </c>
      <c r="E13" s="14">
        <v>30017.0</v>
      </c>
      <c r="F13" s="5" t="s">
        <v>141</v>
      </c>
      <c r="G13" s="5" t="s">
        <v>83</v>
      </c>
      <c r="H13" s="5" t="s">
        <v>14</v>
      </c>
      <c r="I13" s="5" t="s">
        <v>142</v>
      </c>
      <c r="J13" s="5"/>
      <c r="K13" s="5"/>
    </row>
    <row r="14" ht="22.5" customHeight="1">
      <c r="A14" s="13">
        <v>45735.86323309028</v>
      </c>
      <c r="B14" s="5" t="s">
        <v>143</v>
      </c>
      <c r="C14" s="5" t="s">
        <v>144</v>
      </c>
      <c r="D14" s="5" t="s">
        <v>145</v>
      </c>
      <c r="E14" s="14">
        <v>30230.0</v>
      </c>
      <c r="F14" s="5" t="s">
        <v>146</v>
      </c>
      <c r="G14" s="5" t="s">
        <v>93</v>
      </c>
      <c r="H14" s="5" t="s">
        <v>13</v>
      </c>
      <c r="I14" s="5"/>
      <c r="J14" s="5"/>
      <c r="K14" s="5" t="s">
        <v>150</v>
      </c>
    </row>
    <row r="15" ht="22.5" customHeight="1">
      <c r="A15" s="13">
        <v>45735.9234172338</v>
      </c>
      <c r="B15" s="5" t="s">
        <v>151</v>
      </c>
      <c r="C15" s="5" t="s">
        <v>152</v>
      </c>
      <c r="D15" s="5" t="s">
        <v>154</v>
      </c>
      <c r="E15" s="14">
        <v>28978.0</v>
      </c>
      <c r="F15" s="5" t="s">
        <v>155</v>
      </c>
      <c r="G15" s="5" t="s">
        <v>93</v>
      </c>
      <c r="H15" s="5" t="s">
        <v>13</v>
      </c>
      <c r="I15" s="5"/>
      <c r="J15" s="5"/>
      <c r="K15" s="5" t="s">
        <v>157</v>
      </c>
    </row>
    <row r="16" ht="22.5" customHeight="1">
      <c r="A16" s="13">
        <v>45736.61947784723</v>
      </c>
      <c r="B16" s="5" t="s">
        <v>158</v>
      </c>
      <c r="C16" s="5" t="s">
        <v>159</v>
      </c>
      <c r="D16" s="5" t="s">
        <v>160</v>
      </c>
      <c r="E16" s="14">
        <v>32569.0</v>
      </c>
      <c r="F16" s="5" t="s">
        <v>161</v>
      </c>
      <c r="G16" s="5" t="s">
        <v>35</v>
      </c>
      <c r="H16" s="5" t="s">
        <v>14</v>
      </c>
      <c r="I16" s="5" t="s">
        <v>162</v>
      </c>
      <c r="J16" s="5"/>
      <c r="K16" s="5"/>
    </row>
    <row r="17" ht="22.5" customHeight="1">
      <c r="A17" s="13">
        <v>45737.40186895833</v>
      </c>
      <c r="B17" s="5" t="s">
        <v>163</v>
      </c>
      <c r="C17" s="5" t="s">
        <v>164</v>
      </c>
      <c r="D17" s="5" t="s">
        <v>165</v>
      </c>
      <c r="E17" s="14">
        <v>31964.0</v>
      </c>
      <c r="F17" s="5" t="s">
        <v>167</v>
      </c>
      <c r="G17" s="5" t="s">
        <v>32</v>
      </c>
      <c r="H17" s="5" t="s">
        <v>14</v>
      </c>
      <c r="I17" s="5" t="s">
        <v>168</v>
      </c>
      <c r="J17" s="5"/>
      <c r="K17" s="5"/>
    </row>
    <row r="18" ht="22.5" customHeight="1">
      <c r="A18" s="13">
        <v>45737.415236747685</v>
      </c>
      <c r="B18" s="5" t="s">
        <v>169</v>
      </c>
      <c r="C18" s="5" t="s">
        <v>170</v>
      </c>
      <c r="D18" s="5" t="s">
        <v>171</v>
      </c>
      <c r="E18" s="14" t="s">
        <v>172</v>
      </c>
      <c r="F18" s="5" t="s">
        <v>173</v>
      </c>
      <c r="G18" s="5" t="s">
        <v>32</v>
      </c>
      <c r="H18" s="5" t="s">
        <v>13</v>
      </c>
      <c r="I18" s="5"/>
      <c r="J18" s="5"/>
      <c r="K18" s="5" t="s">
        <v>177</v>
      </c>
    </row>
    <row r="19" ht="22.5" customHeight="1">
      <c r="A19" s="13">
        <v>45737.472978969905</v>
      </c>
      <c r="B19" s="5" t="s">
        <v>179</v>
      </c>
      <c r="C19" s="5" t="s">
        <v>180</v>
      </c>
      <c r="D19" s="5" t="s">
        <v>182</v>
      </c>
      <c r="E19" s="14">
        <v>29703.0</v>
      </c>
      <c r="F19" s="5" t="s">
        <v>183</v>
      </c>
      <c r="G19" s="5" t="s">
        <v>8</v>
      </c>
      <c r="H19" s="5" t="s">
        <v>14</v>
      </c>
      <c r="I19" s="5" t="s">
        <v>184</v>
      </c>
      <c r="J19" s="5" t="s">
        <v>185</v>
      </c>
      <c r="K19" s="5"/>
    </row>
    <row r="20" ht="22.5" customHeight="1">
      <c r="A20" s="13">
        <v>45737.48208252314</v>
      </c>
      <c r="B20" s="5" t="s">
        <v>186</v>
      </c>
      <c r="C20" s="5" t="s">
        <v>188</v>
      </c>
      <c r="D20" s="5" t="s">
        <v>190</v>
      </c>
      <c r="E20" s="14">
        <v>26983.0</v>
      </c>
      <c r="F20" s="5" t="s">
        <v>192</v>
      </c>
      <c r="G20" s="5" t="s">
        <v>68</v>
      </c>
      <c r="H20" s="5" t="s">
        <v>14</v>
      </c>
      <c r="I20" s="5" t="s">
        <v>193</v>
      </c>
      <c r="J20" s="5"/>
      <c r="K20" s="5"/>
    </row>
    <row r="21" ht="22.5" customHeight="1">
      <c r="A21" s="13">
        <v>45737.483914861106</v>
      </c>
      <c r="B21" s="5" t="s">
        <v>186</v>
      </c>
      <c r="C21" s="5" t="s">
        <v>197</v>
      </c>
      <c r="D21" s="5" t="s">
        <v>199</v>
      </c>
      <c r="E21" s="14">
        <v>28418.0</v>
      </c>
      <c r="F21" s="5" t="s">
        <v>200</v>
      </c>
      <c r="G21" s="5" t="s">
        <v>68</v>
      </c>
      <c r="H21" s="5" t="s">
        <v>13</v>
      </c>
      <c r="I21" s="5"/>
      <c r="J21" s="5"/>
      <c r="K21" s="5" t="s">
        <v>201</v>
      </c>
    </row>
    <row r="22" ht="22.5" customHeight="1">
      <c r="A22" s="13">
        <v>45737.487844386575</v>
      </c>
      <c r="B22" s="5" t="s">
        <v>186</v>
      </c>
      <c r="C22" s="5" t="s">
        <v>202</v>
      </c>
      <c r="D22" s="5" t="s">
        <v>203</v>
      </c>
      <c r="E22" s="14">
        <v>31446.0</v>
      </c>
      <c r="F22" s="5" t="s">
        <v>205</v>
      </c>
      <c r="G22" s="5" t="s">
        <v>68</v>
      </c>
      <c r="H22" s="5" t="s">
        <v>13</v>
      </c>
      <c r="I22" s="5"/>
      <c r="J22" s="5"/>
      <c r="K22" s="5" t="s">
        <v>201</v>
      </c>
    </row>
    <row r="23" ht="22.5" customHeight="1">
      <c r="A23" s="13">
        <v>45737.493652488425</v>
      </c>
      <c r="B23" s="5" t="s">
        <v>208</v>
      </c>
      <c r="C23" s="5" t="s">
        <v>209</v>
      </c>
      <c r="D23" s="5" t="s">
        <v>210</v>
      </c>
      <c r="E23" s="14">
        <v>29349.0</v>
      </c>
      <c r="F23" s="5" t="s">
        <v>211</v>
      </c>
      <c r="G23" s="5" t="s">
        <v>35</v>
      </c>
      <c r="H23" s="5" t="s">
        <v>13</v>
      </c>
      <c r="I23" s="5"/>
      <c r="J23" s="5"/>
      <c r="K23" s="5" t="s">
        <v>157</v>
      </c>
    </row>
    <row r="24" ht="22.5" customHeight="1">
      <c r="A24" s="13">
        <v>45737.543490509255</v>
      </c>
      <c r="B24" s="5" t="s">
        <v>212</v>
      </c>
      <c r="C24" s="5" t="s">
        <v>213</v>
      </c>
      <c r="D24" s="5" t="s">
        <v>214</v>
      </c>
      <c r="E24" s="14">
        <v>21421.0</v>
      </c>
      <c r="F24" s="5" t="s">
        <v>216</v>
      </c>
      <c r="G24" s="5" t="s">
        <v>8</v>
      </c>
      <c r="H24" s="5" t="s">
        <v>13</v>
      </c>
      <c r="I24" s="5"/>
      <c r="J24" s="5"/>
      <c r="K24" s="5" t="s">
        <v>136</v>
      </c>
    </row>
    <row r="25" ht="22.5" customHeight="1">
      <c r="A25" s="13">
        <v>45737.567403402776</v>
      </c>
      <c r="B25" s="5" t="s">
        <v>220</v>
      </c>
      <c r="C25" s="5" t="s">
        <v>221</v>
      </c>
      <c r="D25" s="5" t="s">
        <v>222</v>
      </c>
      <c r="E25" s="14">
        <v>28159.0</v>
      </c>
      <c r="F25" s="5" t="s">
        <v>224</v>
      </c>
      <c r="G25" s="5" t="s">
        <v>32</v>
      </c>
      <c r="H25" s="5" t="s">
        <v>14</v>
      </c>
      <c r="I25" s="5" t="s">
        <v>225</v>
      </c>
      <c r="J25" s="5"/>
      <c r="K25" s="5"/>
    </row>
    <row r="26" ht="22.5" customHeight="1">
      <c r="A26" s="13">
        <v>45740.66688883102</v>
      </c>
      <c r="B26" s="5" t="s">
        <v>226</v>
      </c>
      <c r="C26" s="5" t="s">
        <v>227</v>
      </c>
      <c r="D26" s="5" t="s">
        <v>228</v>
      </c>
      <c r="E26" s="14">
        <v>34298.0</v>
      </c>
      <c r="F26" s="5" t="s">
        <v>229</v>
      </c>
      <c r="G26" s="5" t="s">
        <v>96</v>
      </c>
      <c r="H26" s="5" t="s">
        <v>14</v>
      </c>
      <c r="I26" s="5" t="s">
        <v>230</v>
      </c>
      <c r="J26" s="5"/>
      <c r="K26" s="5"/>
    </row>
    <row r="27" ht="22.5" customHeight="1">
      <c r="A27" s="13">
        <v>45740.699636770834</v>
      </c>
      <c r="B27" s="5" t="s">
        <v>232</v>
      </c>
      <c r="C27" s="5" t="s">
        <v>233</v>
      </c>
      <c r="D27" s="5" t="s">
        <v>234</v>
      </c>
      <c r="E27" s="14">
        <v>32447.0</v>
      </c>
      <c r="F27" s="5" t="s">
        <v>236</v>
      </c>
      <c r="G27" s="5" t="s">
        <v>70</v>
      </c>
      <c r="H27" s="5" t="s">
        <v>13</v>
      </c>
      <c r="I27" s="5"/>
      <c r="J27" s="5"/>
      <c r="K27" s="5" t="s">
        <v>237</v>
      </c>
    </row>
    <row r="28" ht="22.5" customHeight="1">
      <c r="A28" s="13">
        <v>45740.73473334491</v>
      </c>
      <c r="B28" s="5" t="s">
        <v>238</v>
      </c>
      <c r="C28" s="5" t="s">
        <v>239</v>
      </c>
      <c r="D28" s="5" t="s">
        <v>240</v>
      </c>
      <c r="E28" s="14">
        <v>28370.0</v>
      </c>
      <c r="F28" s="5" t="s">
        <v>241</v>
      </c>
      <c r="G28" s="5" t="s">
        <v>59</v>
      </c>
      <c r="H28" s="5" t="s">
        <v>14</v>
      </c>
      <c r="I28" s="5" t="s">
        <v>242</v>
      </c>
      <c r="J28" s="5"/>
      <c r="K28" s="5"/>
    </row>
    <row r="29" ht="22.5" customHeight="1">
      <c r="A29" s="13">
        <v>45740.73738910879</v>
      </c>
      <c r="B29" s="5" t="s">
        <v>243</v>
      </c>
      <c r="C29" s="5" t="s">
        <v>244</v>
      </c>
      <c r="D29" s="5" t="s">
        <v>245</v>
      </c>
      <c r="E29" s="14">
        <v>26400.0</v>
      </c>
      <c r="F29" s="5" t="s">
        <v>246</v>
      </c>
      <c r="G29" s="5" t="s">
        <v>59</v>
      </c>
      <c r="H29" s="5" t="s">
        <v>14</v>
      </c>
      <c r="I29" s="5" t="s">
        <v>248</v>
      </c>
      <c r="J29" s="5"/>
      <c r="K29" s="5"/>
    </row>
    <row r="30" ht="22.5" customHeight="1">
      <c r="A30" s="13">
        <v>45740.74341520833</v>
      </c>
      <c r="B30" s="5" t="s">
        <v>243</v>
      </c>
      <c r="C30" s="5" t="s">
        <v>249</v>
      </c>
      <c r="D30" s="5" t="s">
        <v>245</v>
      </c>
      <c r="E30" s="14">
        <v>26400.0</v>
      </c>
      <c r="F30" s="5" t="s">
        <v>246</v>
      </c>
      <c r="G30" s="5" t="s">
        <v>59</v>
      </c>
      <c r="H30" s="5" t="s">
        <v>14</v>
      </c>
      <c r="I30" s="5" t="s">
        <v>248</v>
      </c>
      <c r="J30" s="5"/>
      <c r="K30" s="5"/>
    </row>
    <row r="31" ht="22.5" customHeight="1">
      <c r="A31" s="13">
        <v>45740.75158334491</v>
      </c>
      <c r="B31" s="5" t="s">
        <v>270</v>
      </c>
      <c r="C31" s="5" t="s">
        <v>271</v>
      </c>
      <c r="D31" s="5" t="s">
        <v>272</v>
      </c>
      <c r="E31" s="14">
        <v>36569.0</v>
      </c>
      <c r="F31" s="5" t="s">
        <v>273</v>
      </c>
      <c r="G31" s="5" t="s">
        <v>74</v>
      </c>
      <c r="H31" s="5" t="s">
        <v>14</v>
      </c>
      <c r="I31" s="5" t="s">
        <v>274</v>
      </c>
      <c r="J31" s="5"/>
      <c r="K31" s="5"/>
    </row>
    <row r="32" ht="22.5" customHeight="1">
      <c r="A32" s="13">
        <v>45740.752462476856</v>
      </c>
      <c r="B32" s="5" t="s">
        <v>276</v>
      </c>
      <c r="C32" s="5" t="s">
        <v>278</v>
      </c>
      <c r="D32" s="5" t="s">
        <v>280</v>
      </c>
      <c r="E32" s="14">
        <v>28940.0</v>
      </c>
      <c r="F32" s="5" t="s">
        <v>281</v>
      </c>
      <c r="G32" s="5" t="s">
        <v>93</v>
      </c>
      <c r="H32" s="5" t="s">
        <v>13</v>
      </c>
      <c r="I32" s="5"/>
      <c r="J32" s="5"/>
      <c r="K32" s="5" t="s">
        <v>282</v>
      </c>
    </row>
    <row r="33" ht="22.5" customHeight="1">
      <c r="A33" s="13">
        <v>45740.81895861111</v>
      </c>
      <c r="B33" s="5" t="s">
        <v>283</v>
      </c>
      <c r="C33" s="5" t="s">
        <v>286</v>
      </c>
      <c r="D33" s="5" t="s">
        <v>288</v>
      </c>
      <c r="E33" s="14">
        <v>29058.0</v>
      </c>
      <c r="F33" s="5" t="s">
        <v>289</v>
      </c>
      <c r="G33" s="5" t="s">
        <v>96</v>
      </c>
      <c r="H33" s="5" t="s">
        <v>13</v>
      </c>
      <c r="I33" s="5"/>
      <c r="J33" s="5"/>
      <c r="K33" s="5" t="s">
        <v>290</v>
      </c>
    </row>
    <row r="34" ht="22.5" customHeight="1">
      <c r="A34" s="13">
        <v>45741.34613376157</v>
      </c>
      <c r="B34" s="5" t="s">
        <v>270</v>
      </c>
      <c r="C34" s="5" t="s">
        <v>293</v>
      </c>
      <c r="D34" s="5" t="s">
        <v>295</v>
      </c>
      <c r="E34" s="14">
        <v>27552.0</v>
      </c>
      <c r="F34" s="5" t="s">
        <v>296</v>
      </c>
      <c r="G34" s="5" t="s">
        <v>74</v>
      </c>
      <c r="H34" s="5" t="s">
        <v>13</v>
      </c>
      <c r="I34" s="5"/>
      <c r="J34" s="5"/>
      <c r="K34" s="5" t="s">
        <v>297</v>
      </c>
    </row>
    <row r="35" ht="22.5" customHeight="1">
      <c r="A35" s="13">
        <v>45741.40056486111</v>
      </c>
      <c r="B35" s="5" t="s">
        <v>298</v>
      </c>
      <c r="C35" s="5" t="s">
        <v>299</v>
      </c>
      <c r="D35" s="5" t="s">
        <v>300</v>
      </c>
      <c r="E35" s="14">
        <v>24181.0</v>
      </c>
      <c r="F35" s="5" t="s">
        <v>301</v>
      </c>
      <c r="G35" s="5" t="s">
        <v>70</v>
      </c>
      <c r="H35" s="5" t="s">
        <v>13</v>
      </c>
      <c r="I35" s="5"/>
      <c r="J35" s="5"/>
      <c r="K35" s="5" t="s">
        <v>223</v>
      </c>
    </row>
    <row r="36" ht="22.5" customHeight="1">
      <c r="A36" s="13">
        <v>45741.4379587963</v>
      </c>
      <c r="B36" s="5" t="s">
        <v>305</v>
      </c>
      <c r="C36" s="5" t="s">
        <v>306</v>
      </c>
      <c r="D36" s="5" t="s">
        <v>307</v>
      </c>
      <c r="E36" s="14">
        <v>28265.0</v>
      </c>
      <c r="F36" s="5" t="s">
        <v>308</v>
      </c>
      <c r="G36" s="5" t="s">
        <v>8</v>
      </c>
      <c r="H36" s="5" t="s">
        <v>13</v>
      </c>
      <c r="I36" s="5"/>
      <c r="J36" s="5"/>
      <c r="K36" s="5" t="s">
        <v>311</v>
      </c>
    </row>
    <row r="37" ht="22.5" customHeight="1">
      <c r="A37" s="13">
        <v>45741.448130625</v>
      </c>
      <c r="B37" s="5" t="s">
        <v>270</v>
      </c>
      <c r="C37" s="5" t="s">
        <v>313</v>
      </c>
      <c r="D37" s="5" t="s">
        <v>314</v>
      </c>
      <c r="E37" s="14">
        <v>23435.0</v>
      </c>
      <c r="F37" s="5" t="s">
        <v>315</v>
      </c>
      <c r="G37" s="5" t="s">
        <v>74</v>
      </c>
      <c r="H37" s="5" t="s">
        <v>13</v>
      </c>
      <c r="I37" s="5"/>
      <c r="J37" s="5"/>
      <c r="K37" s="5" t="s">
        <v>274</v>
      </c>
    </row>
    <row r="38" ht="22.5" customHeight="1">
      <c r="A38" s="13">
        <v>45741.4985540162</v>
      </c>
      <c r="B38" s="5" t="s">
        <v>321</v>
      </c>
      <c r="C38" s="5" t="s">
        <v>322</v>
      </c>
      <c r="D38" s="5" t="s">
        <v>323</v>
      </c>
      <c r="E38" s="14">
        <v>28089.0</v>
      </c>
      <c r="F38" s="5" t="s">
        <v>324</v>
      </c>
      <c r="G38" s="5" t="s">
        <v>100</v>
      </c>
      <c r="H38" s="5" t="s">
        <v>14</v>
      </c>
      <c r="I38" s="5" t="s">
        <v>325</v>
      </c>
      <c r="J38" s="5"/>
      <c r="K38" s="5"/>
    </row>
    <row r="39" ht="22.5" customHeight="1">
      <c r="A39" s="13">
        <v>45741.503249421294</v>
      </c>
      <c r="B39" s="5" t="s">
        <v>327</v>
      </c>
      <c r="C39" s="5" t="s">
        <v>328</v>
      </c>
      <c r="D39" s="5" t="s">
        <v>329</v>
      </c>
      <c r="E39" s="14">
        <v>37837.0</v>
      </c>
      <c r="F39" s="5" t="s">
        <v>330</v>
      </c>
      <c r="G39" s="5" t="s">
        <v>100</v>
      </c>
      <c r="H39" s="5" t="s">
        <v>14</v>
      </c>
      <c r="I39" s="5" t="s">
        <v>331</v>
      </c>
      <c r="J39" s="5"/>
      <c r="K39" s="5"/>
    </row>
    <row r="40" ht="22.5" customHeight="1">
      <c r="A40" s="13">
        <v>45747.45615302083</v>
      </c>
      <c r="B40" s="5" t="s">
        <v>332</v>
      </c>
      <c r="C40" s="5" t="s">
        <v>66</v>
      </c>
      <c r="D40" s="5" t="s">
        <v>67</v>
      </c>
      <c r="E40" s="14">
        <v>34586.0</v>
      </c>
      <c r="F40" s="5" t="s">
        <v>69</v>
      </c>
      <c r="G40" s="5" t="s">
        <v>70</v>
      </c>
      <c r="H40" s="5" t="s">
        <v>14</v>
      </c>
      <c r="I40" s="5" t="s">
        <v>333</v>
      </c>
      <c r="J40" s="5" t="s">
        <v>334</v>
      </c>
      <c r="K40" s="5" t="s">
        <v>335</v>
      </c>
    </row>
    <row r="41" ht="22.5" customHeight="1">
      <c r="A41" s="13">
        <v>45742.395136817126</v>
      </c>
      <c r="B41" s="5" t="s">
        <v>339</v>
      </c>
      <c r="C41" s="5" t="s">
        <v>340</v>
      </c>
      <c r="D41" s="5" t="s">
        <v>341</v>
      </c>
      <c r="E41" s="14">
        <v>36763.0</v>
      </c>
      <c r="F41" s="5" t="s">
        <v>343</v>
      </c>
      <c r="G41" s="5" t="s">
        <v>43</v>
      </c>
      <c r="H41" s="5" t="s">
        <v>14</v>
      </c>
      <c r="I41" s="5" t="s">
        <v>345</v>
      </c>
      <c r="J41" s="5"/>
      <c r="K41" s="5"/>
    </row>
    <row r="42" ht="22.5" customHeight="1">
      <c r="A42" s="13">
        <v>45742.437961539355</v>
      </c>
      <c r="B42" s="5" t="s">
        <v>346</v>
      </c>
      <c r="C42" s="5" t="s">
        <v>347</v>
      </c>
      <c r="D42" s="5" t="s">
        <v>348</v>
      </c>
      <c r="E42" s="14">
        <v>29858.0</v>
      </c>
      <c r="F42" s="5" t="s">
        <v>349</v>
      </c>
      <c r="G42" s="5" t="s">
        <v>72</v>
      </c>
      <c r="H42" s="5" t="s">
        <v>14</v>
      </c>
      <c r="I42" s="5" t="s">
        <v>350</v>
      </c>
      <c r="J42" s="5"/>
      <c r="K42" s="5"/>
    </row>
    <row r="43" ht="22.5" customHeight="1">
      <c r="A43" s="13">
        <v>45742.44973807871</v>
      </c>
      <c r="B43" s="5" t="s">
        <v>302</v>
      </c>
      <c r="C43" s="5" t="s">
        <v>353</v>
      </c>
      <c r="D43" s="5" t="s">
        <v>304</v>
      </c>
      <c r="E43" s="14">
        <v>33394.0</v>
      </c>
      <c r="F43" s="5" t="s">
        <v>354</v>
      </c>
      <c r="G43" s="5" t="s">
        <v>72</v>
      </c>
      <c r="H43" s="5" t="s">
        <v>14</v>
      </c>
      <c r="I43" s="5" t="s">
        <v>355</v>
      </c>
      <c r="J43" s="5"/>
      <c r="K43" s="5"/>
    </row>
    <row r="44" ht="22.5" customHeight="1">
      <c r="A44" s="13">
        <v>45742.461930844904</v>
      </c>
      <c r="B44" s="5" t="s">
        <v>356</v>
      </c>
      <c r="C44" s="5" t="s">
        <v>358</v>
      </c>
      <c r="D44" s="5" t="s">
        <v>360</v>
      </c>
      <c r="E44" s="14">
        <v>28554.0</v>
      </c>
      <c r="F44" s="5" t="s">
        <v>362</v>
      </c>
      <c r="G44" s="5" t="s">
        <v>20</v>
      </c>
      <c r="H44" s="5" t="s">
        <v>14</v>
      </c>
      <c r="I44" s="5" t="s">
        <v>363</v>
      </c>
      <c r="J44" s="5" t="s">
        <v>364</v>
      </c>
      <c r="K44" s="5"/>
    </row>
    <row r="45" ht="22.5" customHeight="1">
      <c r="A45" s="13">
        <v>45742.464447708335</v>
      </c>
      <c r="B45" s="5" t="s">
        <v>356</v>
      </c>
      <c r="C45" s="5" t="s">
        <v>365</v>
      </c>
      <c r="D45" s="5" t="s">
        <v>366</v>
      </c>
      <c r="E45" s="14">
        <v>21306.0</v>
      </c>
      <c r="F45" s="5" t="s">
        <v>367</v>
      </c>
      <c r="G45" s="5" t="s">
        <v>20</v>
      </c>
      <c r="H45" s="5" t="s">
        <v>14</v>
      </c>
      <c r="I45" s="5" t="s">
        <v>368</v>
      </c>
      <c r="J45" s="5"/>
      <c r="K45" s="5"/>
    </row>
    <row r="46" ht="22.5" customHeight="1">
      <c r="A46" s="13">
        <v>45742.51302890046</v>
      </c>
      <c r="B46" s="5" t="s">
        <v>370</v>
      </c>
      <c r="C46" s="5" t="s">
        <v>371</v>
      </c>
      <c r="D46" s="5" t="s">
        <v>372</v>
      </c>
      <c r="E46" s="14">
        <v>25126.0</v>
      </c>
      <c r="F46" s="5" t="s">
        <v>373</v>
      </c>
      <c r="G46" s="5" t="s">
        <v>50</v>
      </c>
      <c r="H46" s="5" t="s">
        <v>14</v>
      </c>
      <c r="I46" s="5" t="s">
        <v>374</v>
      </c>
      <c r="J46" s="5"/>
      <c r="K46" s="5"/>
    </row>
    <row r="47" ht="22.5" customHeight="1">
      <c r="A47" s="13">
        <v>45742.68634284722</v>
      </c>
      <c r="B47" s="5" t="s">
        <v>375</v>
      </c>
      <c r="C47" s="5" t="s">
        <v>27</v>
      </c>
      <c r="D47" s="5" t="s">
        <v>29</v>
      </c>
      <c r="E47" s="14">
        <v>30191.0</v>
      </c>
      <c r="F47" s="5" t="s">
        <v>376</v>
      </c>
      <c r="G47" s="5" t="s">
        <v>43</v>
      </c>
      <c r="H47" s="5" t="s">
        <v>13</v>
      </c>
      <c r="I47" s="5"/>
      <c r="J47" s="5"/>
      <c r="K47" s="5" t="s">
        <v>380</v>
      </c>
    </row>
    <row r="48" ht="22.5" customHeight="1">
      <c r="A48" s="13">
        <v>45742.90465269676</v>
      </c>
      <c r="B48" s="5" t="s">
        <v>309</v>
      </c>
      <c r="C48" s="5" t="s">
        <v>381</v>
      </c>
      <c r="D48" s="5" t="s">
        <v>312</v>
      </c>
      <c r="E48" s="14">
        <v>33417.0</v>
      </c>
      <c r="F48" s="5" t="s">
        <v>382</v>
      </c>
      <c r="G48" s="5" t="s">
        <v>102</v>
      </c>
      <c r="H48" s="5" t="s">
        <v>13</v>
      </c>
      <c r="I48" s="5"/>
      <c r="J48" s="5"/>
      <c r="K48" s="5" t="s">
        <v>383</v>
      </c>
    </row>
    <row r="49" ht="22.5" customHeight="1">
      <c r="A49" s="13">
        <v>45743.134583692125</v>
      </c>
      <c r="B49" s="5" t="s">
        <v>377</v>
      </c>
      <c r="C49" s="5" t="s">
        <v>378</v>
      </c>
      <c r="D49" s="5" t="s">
        <v>379</v>
      </c>
      <c r="E49" s="14">
        <v>36213.0</v>
      </c>
      <c r="F49" s="5" t="s">
        <v>385</v>
      </c>
      <c r="G49" s="5" t="s">
        <v>43</v>
      </c>
      <c r="H49" s="5" t="s">
        <v>14</v>
      </c>
      <c r="I49" s="5" t="s">
        <v>387</v>
      </c>
      <c r="J49" s="5"/>
      <c r="K49" s="5"/>
    </row>
    <row r="50" ht="22.5" customHeight="1">
      <c r="A50" s="13">
        <v>45743.31354670139</v>
      </c>
      <c r="B50" s="5" t="s">
        <v>388</v>
      </c>
      <c r="C50" s="5" t="s">
        <v>389</v>
      </c>
      <c r="D50" s="5" t="s">
        <v>390</v>
      </c>
      <c r="E50" s="14">
        <v>27034.0</v>
      </c>
      <c r="F50" s="5" t="s">
        <v>391</v>
      </c>
      <c r="G50" s="5" t="s">
        <v>43</v>
      </c>
      <c r="H50" s="5" t="s">
        <v>13</v>
      </c>
      <c r="I50" s="5"/>
      <c r="J50" s="5"/>
      <c r="K50" s="5" t="s">
        <v>393</v>
      </c>
    </row>
    <row r="51" ht="22.5" customHeight="1">
      <c r="A51" s="13">
        <v>45743.40866224537</v>
      </c>
      <c r="B51" s="5" t="s">
        <v>394</v>
      </c>
      <c r="C51" s="5" t="s">
        <v>395</v>
      </c>
      <c r="D51" s="5" t="s">
        <v>396</v>
      </c>
      <c r="E51" s="14">
        <v>29246.0</v>
      </c>
      <c r="F51" s="5" t="s">
        <v>397</v>
      </c>
      <c r="G51" s="5" t="s">
        <v>108</v>
      </c>
      <c r="H51" s="5" t="s">
        <v>14</v>
      </c>
      <c r="I51" s="5" t="s">
        <v>400</v>
      </c>
      <c r="J51" s="5"/>
      <c r="K51" s="5"/>
    </row>
    <row r="52" ht="22.5" customHeight="1">
      <c r="A52" s="13">
        <v>45743.476181342594</v>
      </c>
      <c r="B52" s="5" t="s">
        <v>120</v>
      </c>
      <c r="C52" s="5" t="s">
        <v>122</v>
      </c>
      <c r="D52" s="5" t="s">
        <v>123</v>
      </c>
      <c r="E52" s="14">
        <v>31173.0</v>
      </c>
      <c r="F52" s="5" t="s">
        <v>404</v>
      </c>
      <c r="G52" s="5" t="s">
        <v>102</v>
      </c>
      <c r="H52" s="5" t="s">
        <v>13</v>
      </c>
      <c r="I52" s="5"/>
      <c r="J52" s="5"/>
      <c r="K52" s="5" t="s">
        <v>405</v>
      </c>
    </row>
    <row r="53" ht="22.5" customHeight="1">
      <c r="A53" s="13">
        <v>45743.5465596412</v>
      </c>
      <c r="B53" s="5" t="s">
        <v>406</v>
      </c>
      <c r="C53" s="5" t="s">
        <v>407</v>
      </c>
      <c r="D53" s="5" t="s">
        <v>408</v>
      </c>
      <c r="E53" s="14">
        <v>29773.0</v>
      </c>
      <c r="F53" s="5" t="s">
        <v>409</v>
      </c>
      <c r="G53" s="5" t="s">
        <v>35</v>
      </c>
      <c r="H53" s="5" t="s">
        <v>14</v>
      </c>
      <c r="I53" s="5" t="s">
        <v>411</v>
      </c>
      <c r="J53" s="5"/>
      <c r="K53" s="5"/>
    </row>
    <row r="54" ht="22.5" customHeight="1">
      <c r="A54" s="13">
        <v>45743.85855833333</v>
      </c>
      <c r="B54" s="5" t="s">
        <v>412</v>
      </c>
      <c r="C54" s="5" t="s">
        <v>414</v>
      </c>
      <c r="D54" s="5" t="s">
        <v>415</v>
      </c>
      <c r="E54" s="14">
        <v>24785.0</v>
      </c>
      <c r="F54" s="5" t="s">
        <v>417</v>
      </c>
      <c r="G54" s="5" t="s">
        <v>28</v>
      </c>
      <c r="H54" s="5" t="s">
        <v>14</v>
      </c>
      <c r="I54" s="5" t="s">
        <v>418</v>
      </c>
      <c r="J54" s="5"/>
      <c r="K54" s="5"/>
    </row>
    <row r="55" ht="22.5" customHeight="1">
      <c r="A55" s="13">
        <v>45744.33798207176</v>
      </c>
      <c r="B55" s="5" t="s">
        <v>58</v>
      </c>
      <c r="C55" s="5" t="s">
        <v>419</v>
      </c>
      <c r="D55" s="5" t="s">
        <v>62</v>
      </c>
      <c r="E55" s="14">
        <v>30671.0</v>
      </c>
      <c r="F55" s="5" t="s">
        <v>421</v>
      </c>
      <c r="G55" s="5" t="s">
        <v>65</v>
      </c>
      <c r="H55" s="5" t="s">
        <v>14</v>
      </c>
      <c r="I55" s="5" t="s">
        <v>422</v>
      </c>
      <c r="J55" s="5"/>
      <c r="K55" s="5"/>
    </row>
    <row r="56" ht="22.5" customHeight="1">
      <c r="A56" s="13">
        <v>45744.34136377314</v>
      </c>
      <c r="B56" s="5" t="s">
        <v>423</v>
      </c>
      <c r="C56" s="5" t="s">
        <v>424</v>
      </c>
      <c r="D56" s="5" t="s">
        <v>425</v>
      </c>
      <c r="E56" s="14">
        <v>25546.0</v>
      </c>
      <c r="F56" s="5" t="s">
        <v>426</v>
      </c>
      <c r="G56" s="5" t="s">
        <v>65</v>
      </c>
      <c r="H56" s="5" t="s">
        <v>14</v>
      </c>
      <c r="I56" s="5" t="s">
        <v>427</v>
      </c>
      <c r="J56" s="5"/>
      <c r="K56" s="5"/>
    </row>
    <row r="57" ht="22.5" customHeight="1">
      <c r="A57" s="13">
        <v>45744.56624190972</v>
      </c>
      <c r="B57" s="5" t="s">
        <v>431</v>
      </c>
      <c r="C57" s="5" t="s">
        <v>432</v>
      </c>
      <c r="D57" s="5" t="s">
        <v>433</v>
      </c>
      <c r="E57" s="14">
        <v>28186.0</v>
      </c>
      <c r="F57" s="5" t="s">
        <v>434</v>
      </c>
      <c r="G57" s="5" t="s">
        <v>93</v>
      </c>
      <c r="H57" s="5" t="s">
        <v>14</v>
      </c>
      <c r="I57" s="5" t="s">
        <v>435</v>
      </c>
      <c r="J57" s="5"/>
      <c r="K57" s="5"/>
    </row>
    <row r="58" ht="22.5" customHeight="1">
      <c r="A58" s="13">
        <v>45744.63235804398</v>
      </c>
      <c r="B58" s="5" t="s">
        <v>436</v>
      </c>
      <c r="C58" s="5" t="s">
        <v>437</v>
      </c>
      <c r="D58" s="5" t="s">
        <v>438</v>
      </c>
      <c r="E58" s="14">
        <v>26345.0</v>
      </c>
      <c r="F58" s="5" t="s">
        <v>439</v>
      </c>
      <c r="G58" s="5" t="s">
        <v>55</v>
      </c>
      <c r="H58" s="5" t="s">
        <v>13</v>
      </c>
      <c r="I58" s="5"/>
      <c r="J58" s="5"/>
      <c r="K58" s="5" t="s">
        <v>441</v>
      </c>
    </row>
    <row r="59" ht="22.5" customHeight="1">
      <c r="A59" s="13">
        <v>45746.59002278935</v>
      </c>
      <c r="B59" s="5" t="s">
        <v>442</v>
      </c>
      <c r="C59" s="5" t="s">
        <v>443</v>
      </c>
      <c r="D59" s="5" t="s">
        <v>444</v>
      </c>
      <c r="E59" s="14">
        <v>24117.0</v>
      </c>
      <c r="F59" s="5" t="s">
        <v>445</v>
      </c>
      <c r="G59" s="5" t="s">
        <v>46</v>
      </c>
      <c r="H59" s="5" t="s">
        <v>14</v>
      </c>
      <c r="I59" s="5" t="s">
        <v>446</v>
      </c>
      <c r="J59" s="5"/>
      <c r="K59" s="5"/>
    </row>
    <row r="60" ht="22.5" customHeight="1">
      <c r="A60" s="13">
        <v>45747.35854725694</v>
      </c>
      <c r="B60" s="5" t="s">
        <v>448</v>
      </c>
      <c r="C60" s="5" t="s">
        <v>450</v>
      </c>
      <c r="D60" s="5" t="s">
        <v>452</v>
      </c>
      <c r="E60" s="14">
        <v>27738.0</v>
      </c>
      <c r="F60" s="5" t="s">
        <v>453</v>
      </c>
      <c r="G60" s="5" t="s">
        <v>42</v>
      </c>
      <c r="H60" s="5" t="s">
        <v>14</v>
      </c>
      <c r="I60" s="5" t="s">
        <v>454</v>
      </c>
      <c r="J60" s="5"/>
      <c r="K60" s="5"/>
    </row>
    <row r="61" ht="22.5" customHeight="1">
      <c r="A61" s="13">
        <v>45747.40243403935</v>
      </c>
      <c r="B61" s="5" t="s">
        <v>267</v>
      </c>
      <c r="C61" s="5" t="s">
        <v>455</v>
      </c>
      <c r="D61" s="5" t="s">
        <v>269</v>
      </c>
      <c r="E61" s="14">
        <v>32278.0</v>
      </c>
      <c r="F61" s="5" t="s">
        <v>456</v>
      </c>
      <c r="G61" s="5" t="s">
        <v>102</v>
      </c>
      <c r="H61" s="5" t="s">
        <v>14</v>
      </c>
      <c r="I61" s="5" t="s">
        <v>457</v>
      </c>
      <c r="J61" s="5"/>
      <c r="K61" s="5"/>
    </row>
    <row r="62" ht="22.5" customHeight="1">
      <c r="A62" s="13">
        <v>45747.40829564814</v>
      </c>
      <c r="B62" s="5" t="s">
        <v>458</v>
      </c>
      <c r="C62" s="5" t="s">
        <v>459</v>
      </c>
      <c r="D62" s="5" t="s">
        <v>460</v>
      </c>
      <c r="E62" s="14">
        <v>29614.0</v>
      </c>
      <c r="F62" s="5" t="s">
        <v>461</v>
      </c>
      <c r="G62" s="5" t="s">
        <v>8</v>
      </c>
      <c r="H62" s="5" t="s">
        <v>13</v>
      </c>
      <c r="I62" s="5"/>
      <c r="J62" s="5"/>
      <c r="K62" s="5" t="s">
        <v>462</v>
      </c>
    </row>
    <row r="63" ht="22.5" customHeight="1">
      <c r="A63" s="13">
        <v>45747.41379015046</v>
      </c>
      <c r="B63" s="5" t="s">
        <v>463</v>
      </c>
      <c r="C63" s="5" t="s">
        <v>464</v>
      </c>
      <c r="D63" s="5" t="s">
        <v>465</v>
      </c>
      <c r="E63" s="14">
        <v>30821.0</v>
      </c>
      <c r="F63" s="5" t="s">
        <v>466</v>
      </c>
      <c r="G63" s="5" t="s">
        <v>41</v>
      </c>
      <c r="H63" s="5" t="s">
        <v>14</v>
      </c>
      <c r="I63" s="5" t="s">
        <v>467</v>
      </c>
      <c r="J63" s="5"/>
      <c r="K63" s="5"/>
    </row>
    <row r="64" ht="22.5" customHeight="1">
      <c r="A64" s="13">
        <v>45747.42616796296</v>
      </c>
      <c r="B64" s="5" t="s">
        <v>468</v>
      </c>
      <c r="C64" s="5" t="s">
        <v>469</v>
      </c>
      <c r="D64" s="5" t="s">
        <v>287</v>
      </c>
      <c r="E64" s="14">
        <v>34041.0</v>
      </c>
      <c r="F64" s="5" t="s">
        <v>470</v>
      </c>
      <c r="G64" s="5" t="s">
        <v>108</v>
      </c>
      <c r="H64" s="5" t="s">
        <v>14</v>
      </c>
      <c r="I64" s="5" t="s">
        <v>471</v>
      </c>
      <c r="J64" s="5"/>
      <c r="K64" s="5"/>
    </row>
    <row r="65" ht="22.5" customHeight="1">
      <c r="A65" s="13">
        <v>45747.427453854165</v>
      </c>
      <c r="B65" s="5" t="s">
        <v>468</v>
      </c>
      <c r="C65" s="5" t="s">
        <v>472</v>
      </c>
      <c r="D65" s="5" t="s">
        <v>473</v>
      </c>
      <c r="E65" s="14">
        <v>29106.0</v>
      </c>
      <c r="F65" s="5" t="s">
        <v>474</v>
      </c>
      <c r="G65" s="5" t="s">
        <v>108</v>
      </c>
      <c r="H65" s="5" t="s">
        <v>14</v>
      </c>
      <c r="I65" s="5" t="s">
        <v>471</v>
      </c>
      <c r="J65" s="5"/>
      <c r="K65" s="5"/>
    </row>
    <row r="66" ht="22.5" customHeight="1">
      <c r="A66" s="13">
        <v>45747.428370486115</v>
      </c>
      <c r="B66" s="5" t="s">
        <v>468</v>
      </c>
      <c r="C66" s="5" t="s">
        <v>475</v>
      </c>
      <c r="D66" s="5" t="s">
        <v>191</v>
      </c>
      <c r="E66" s="14">
        <v>31718.0</v>
      </c>
      <c r="F66" s="5" t="s">
        <v>476</v>
      </c>
      <c r="G66" s="5" t="s">
        <v>108</v>
      </c>
      <c r="H66" s="5" t="s">
        <v>14</v>
      </c>
      <c r="I66" s="5" t="s">
        <v>477</v>
      </c>
      <c r="J66" s="5"/>
      <c r="K66" s="5"/>
    </row>
    <row r="67" ht="22.5" customHeight="1">
      <c r="A67" s="13">
        <v>45747.474257615744</v>
      </c>
      <c r="B67" s="5" t="s">
        <v>478</v>
      </c>
      <c r="C67" s="5" t="s">
        <v>479</v>
      </c>
      <c r="D67" s="5" t="s">
        <v>480</v>
      </c>
      <c r="E67" s="14">
        <v>30195.0</v>
      </c>
      <c r="F67" s="5" t="s">
        <v>481</v>
      </c>
      <c r="G67" s="5" t="s">
        <v>83</v>
      </c>
      <c r="H67" s="5" t="s">
        <v>14</v>
      </c>
      <c r="I67" s="5" t="s">
        <v>482</v>
      </c>
      <c r="J67" s="5" t="s">
        <v>483</v>
      </c>
      <c r="K67" s="5"/>
    </row>
    <row r="68" ht="22.5" customHeight="1">
      <c r="A68" s="13">
        <v>45747.482493449075</v>
      </c>
      <c r="B68" s="5" t="s">
        <v>484</v>
      </c>
      <c r="C68" s="5" t="s">
        <v>485</v>
      </c>
      <c r="D68" s="5" t="s">
        <v>486</v>
      </c>
      <c r="E68" s="14">
        <v>25555.0</v>
      </c>
      <c r="F68" s="5" t="s">
        <v>487</v>
      </c>
      <c r="G68" s="5" t="s">
        <v>83</v>
      </c>
      <c r="H68" s="5" t="s">
        <v>14</v>
      </c>
      <c r="I68" s="5" t="s">
        <v>488</v>
      </c>
      <c r="J68" s="5"/>
      <c r="K68" s="5"/>
    </row>
    <row r="69" ht="22.5" customHeight="1">
      <c r="A69" s="13">
        <v>45747.52331238426</v>
      </c>
      <c r="B69" s="5" t="s">
        <v>260</v>
      </c>
      <c r="C69" s="5" t="s">
        <v>489</v>
      </c>
      <c r="D69" s="5" t="s">
        <v>262</v>
      </c>
      <c r="E69" s="14">
        <v>32514.0</v>
      </c>
      <c r="F69" s="5" t="s">
        <v>490</v>
      </c>
      <c r="G69" s="5" t="s">
        <v>40</v>
      </c>
      <c r="H69" s="5" t="s">
        <v>13</v>
      </c>
      <c r="I69" s="5"/>
      <c r="J69" s="5"/>
      <c r="K69" s="5" t="s">
        <v>491</v>
      </c>
    </row>
    <row r="70" ht="22.5" customHeight="1">
      <c r="A70" s="13">
        <v>45747.526049305554</v>
      </c>
      <c r="B70" s="5" t="s">
        <v>492</v>
      </c>
      <c r="C70" s="5" t="s">
        <v>494</v>
      </c>
      <c r="D70" s="5" t="s">
        <v>496</v>
      </c>
      <c r="E70" s="14">
        <v>24341.0</v>
      </c>
      <c r="F70" s="5" t="s">
        <v>498</v>
      </c>
      <c r="G70" s="5" t="s">
        <v>40</v>
      </c>
      <c r="H70" s="5" t="s">
        <v>14</v>
      </c>
      <c r="I70" s="5" t="s">
        <v>499</v>
      </c>
      <c r="J70" s="5"/>
      <c r="K70" s="5"/>
    </row>
    <row r="71" ht="22.5" customHeight="1">
      <c r="A71" s="13">
        <v>45747.68789523148</v>
      </c>
      <c r="B71" s="5" t="s">
        <v>501</v>
      </c>
      <c r="C71" s="5" t="s">
        <v>502</v>
      </c>
      <c r="D71" s="5" t="s">
        <v>503</v>
      </c>
      <c r="E71" s="14">
        <v>24597.0</v>
      </c>
      <c r="F71" s="5" t="s">
        <v>505</v>
      </c>
      <c r="G71" s="5" t="s">
        <v>8</v>
      </c>
      <c r="H71" s="5" t="s">
        <v>14</v>
      </c>
      <c r="I71" s="5" t="s">
        <v>506</v>
      </c>
      <c r="J71" s="5"/>
      <c r="K71" s="5"/>
    </row>
    <row r="72" ht="22.5" customHeight="1">
      <c r="A72" s="13">
        <v>45747.7063522338</v>
      </c>
      <c r="B72" s="5" t="s">
        <v>507</v>
      </c>
      <c r="C72" s="5" t="s">
        <v>508</v>
      </c>
      <c r="D72" s="5" t="s">
        <v>509</v>
      </c>
      <c r="E72" s="14">
        <v>28425.0</v>
      </c>
      <c r="F72" s="5" t="s">
        <v>510</v>
      </c>
      <c r="G72" s="5" t="s">
        <v>83</v>
      </c>
      <c r="H72" s="5" t="s">
        <v>13</v>
      </c>
      <c r="I72" s="5"/>
      <c r="J72" s="5"/>
      <c r="K72" s="5" t="s">
        <v>383</v>
      </c>
    </row>
    <row r="73" ht="22.5" customHeight="1">
      <c r="A73" s="13">
        <v>45747.715695046296</v>
      </c>
      <c r="B73" s="5" t="s">
        <v>511</v>
      </c>
      <c r="C73" s="5" t="s">
        <v>512</v>
      </c>
      <c r="D73" s="5" t="s">
        <v>513</v>
      </c>
      <c r="E73" s="14">
        <v>26200.0</v>
      </c>
      <c r="F73" s="5" t="s">
        <v>514</v>
      </c>
      <c r="G73" s="5" t="s">
        <v>83</v>
      </c>
      <c r="H73" s="5" t="s">
        <v>13</v>
      </c>
      <c r="I73" s="5"/>
      <c r="J73" s="5"/>
      <c r="K73" s="5" t="s">
        <v>393</v>
      </c>
    </row>
    <row r="74" ht="22.5" customHeight="1">
      <c r="A74" s="13">
        <v>45747.74303633102</v>
      </c>
      <c r="B74" s="5" t="s">
        <v>428</v>
      </c>
      <c r="C74" s="5" t="s">
        <v>429</v>
      </c>
      <c r="D74" s="5" t="s">
        <v>430</v>
      </c>
      <c r="E74" s="14">
        <v>52961.0</v>
      </c>
      <c r="F74" s="5" t="s">
        <v>515</v>
      </c>
      <c r="G74" s="5" t="s">
        <v>25</v>
      </c>
      <c r="H74" s="5" t="s">
        <v>14</v>
      </c>
      <c r="I74" s="5" t="s">
        <v>516</v>
      </c>
      <c r="J74" s="5"/>
      <c r="K74" s="5"/>
    </row>
    <row r="75" ht="22.5" customHeight="1">
      <c r="A75" s="13">
        <v>45748.317526956016</v>
      </c>
      <c r="B75" s="5" t="s">
        <v>517</v>
      </c>
      <c r="C75" s="5" t="s">
        <v>518</v>
      </c>
      <c r="D75" s="5" t="s">
        <v>519</v>
      </c>
      <c r="E75" s="14">
        <v>28648.0</v>
      </c>
      <c r="F75" s="5" t="s">
        <v>521</v>
      </c>
      <c r="G75" s="5" t="s">
        <v>38</v>
      </c>
      <c r="H75" s="5" t="s">
        <v>14</v>
      </c>
      <c r="I75" s="5" t="s">
        <v>522</v>
      </c>
      <c r="J75" s="5" t="s">
        <v>523</v>
      </c>
      <c r="K75" s="5"/>
    </row>
    <row r="76" ht="22.5" customHeight="1">
      <c r="A76" s="13">
        <v>45748.32543667824</v>
      </c>
      <c r="B76" s="5" t="s">
        <v>447</v>
      </c>
      <c r="C76" s="5" t="s">
        <v>449</v>
      </c>
      <c r="D76" s="5" t="s">
        <v>451</v>
      </c>
      <c r="E76" s="14">
        <v>22943.0</v>
      </c>
      <c r="F76" s="5" t="s">
        <v>524</v>
      </c>
      <c r="G76" s="5" t="s">
        <v>38</v>
      </c>
      <c r="H76" s="5" t="s">
        <v>14</v>
      </c>
      <c r="I76" s="5" t="s">
        <v>525</v>
      </c>
      <c r="J76" s="5"/>
      <c r="K76" s="5"/>
    </row>
    <row r="77" ht="22.5" customHeight="1">
      <c r="A77" s="13">
        <v>45748.43708857639</v>
      </c>
      <c r="B77" s="5" t="s">
        <v>291</v>
      </c>
      <c r="C77" s="5" t="s">
        <v>527</v>
      </c>
      <c r="D77" s="5" t="s">
        <v>294</v>
      </c>
      <c r="E77" s="14">
        <v>34377.0</v>
      </c>
      <c r="F77" s="5" t="s">
        <v>528</v>
      </c>
      <c r="G77" s="5" t="s">
        <v>52</v>
      </c>
      <c r="H77" s="5" t="s">
        <v>14</v>
      </c>
      <c r="I77" s="5" t="s">
        <v>529</v>
      </c>
      <c r="J77" s="5"/>
      <c r="K77" s="5"/>
    </row>
    <row r="78" ht="22.5" customHeight="1">
      <c r="A78" s="13">
        <v>45748.43759508102</v>
      </c>
      <c r="B78" s="5" t="s">
        <v>106</v>
      </c>
      <c r="C78" s="5" t="s">
        <v>530</v>
      </c>
      <c r="D78" s="5" t="s">
        <v>109</v>
      </c>
      <c r="E78" s="14">
        <v>30850.0</v>
      </c>
      <c r="F78" s="5" t="s">
        <v>531</v>
      </c>
      <c r="G78" s="5" t="s">
        <v>24</v>
      </c>
      <c r="H78" s="5" t="s">
        <v>14</v>
      </c>
      <c r="I78" s="5" t="s">
        <v>532</v>
      </c>
      <c r="J78" s="5"/>
      <c r="K78" s="5"/>
    </row>
    <row r="79" ht="22.5" customHeight="1">
      <c r="A79" s="13">
        <v>45748.43815271991</v>
      </c>
      <c r="B79" s="5" t="s">
        <v>357</v>
      </c>
      <c r="C79" s="5" t="s">
        <v>359</v>
      </c>
      <c r="D79" s="5" t="s">
        <v>361</v>
      </c>
      <c r="E79" s="14">
        <v>36520.0</v>
      </c>
      <c r="F79" s="5" t="s">
        <v>533</v>
      </c>
      <c r="G79" s="5" t="s">
        <v>102</v>
      </c>
      <c r="H79" s="5" t="s">
        <v>14</v>
      </c>
      <c r="I79" s="5" t="s">
        <v>534</v>
      </c>
      <c r="J79" s="5"/>
      <c r="K79" s="5"/>
    </row>
    <row r="80" ht="22.5" customHeight="1">
      <c r="A80" s="13">
        <v>45748.44729783565</v>
      </c>
      <c r="B80" s="5" t="s">
        <v>204</v>
      </c>
      <c r="C80" s="5" t="s">
        <v>535</v>
      </c>
      <c r="D80" s="5" t="s">
        <v>207</v>
      </c>
      <c r="E80" s="14">
        <v>37344.0</v>
      </c>
      <c r="F80" s="5" t="s">
        <v>536</v>
      </c>
      <c r="G80" s="5" t="s">
        <v>24</v>
      </c>
      <c r="H80" s="5" t="s">
        <v>14</v>
      </c>
      <c r="I80" s="5" t="s">
        <v>537</v>
      </c>
      <c r="J80" s="5"/>
      <c r="K80" s="5"/>
    </row>
    <row r="81" ht="22.5" customHeight="1">
      <c r="A81" s="13">
        <v>45748.4548796875</v>
      </c>
      <c r="B81" s="5" t="s">
        <v>538</v>
      </c>
      <c r="C81" s="5" t="s">
        <v>539</v>
      </c>
      <c r="D81" s="5" t="s">
        <v>540</v>
      </c>
      <c r="E81" s="14">
        <v>29554.0</v>
      </c>
      <c r="F81" s="5" t="s">
        <v>541</v>
      </c>
      <c r="G81" s="5" t="s">
        <v>25</v>
      </c>
      <c r="H81" s="5" t="s">
        <v>14</v>
      </c>
      <c r="I81" s="5" t="s">
        <v>542</v>
      </c>
      <c r="J81" s="5"/>
      <c r="K81" s="5"/>
    </row>
    <row r="82" ht="22.5" customHeight="1">
      <c r="A82" s="13">
        <v>45748.479056956014</v>
      </c>
      <c r="B82" s="5" t="s">
        <v>543</v>
      </c>
      <c r="C82" s="5" t="s">
        <v>544</v>
      </c>
      <c r="D82" s="5" t="s">
        <v>545</v>
      </c>
      <c r="E82" s="14">
        <v>31923.0</v>
      </c>
      <c r="F82" s="5" t="s">
        <v>546</v>
      </c>
      <c r="G82" s="5" t="s">
        <v>8</v>
      </c>
      <c r="H82" s="5" t="s">
        <v>14</v>
      </c>
      <c r="I82" s="5" t="s">
        <v>547</v>
      </c>
      <c r="J82" s="5" t="s">
        <v>548</v>
      </c>
      <c r="K82" s="5"/>
    </row>
    <row r="83" ht="22.5" customHeight="1">
      <c r="A83" s="13">
        <v>45748.49380917824</v>
      </c>
      <c r="B83" s="5" t="s">
        <v>549</v>
      </c>
      <c r="C83" s="5" t="s">
        <v>550</v>
      </c>
      <c r="D83" s="5" t="s">
        <v>279</v>
      </c>
      <c r="E83" s="14">
        <v>33116.0</v>
      </c>
      <c r="F83" s="5" t="s">
        <v>551</v>
      </c>
      <c r="G83" s="5" t="s">
        <v>46</v>
      </c>
      <c r="H83" s="5" t="s">
        <v>13</v>
      </c>
      <c r="I83" s="5"/>
      <c r="J83" s="5"/>
      <c r="K83" s="5" t="s">
        <v>552</v>
      </c>
    </row>
    <row r="84" ht="22.5" customHeight="1">
      <c r="A84" s="13">
        <v>45748.58617872685</v>
      </c>
      <c r="B84" s="5" t="s">
        <v>553</v>
      </c>
      <c r="C84" s="5" t="s">
        <v>554</v>
      </c>
      <c r="D84" s="5" t="s">
        <v>555</v>
      </c>
      <c r="E84" s="14">
        <v>30186.0</v>
      </c>
      <c r="F84" s="5" t="s">
        <v>556</v>
      </c>
      <c r="G84" s="5" t="s">
        <v>79</v>
      </c>
      <c r="H84" s="5" t="s">
        <v>14</v>
      </c>
      <c r="I84" s="5" t="s">
        <v>557</v>
      </c>
      <c r="J84" s="5"/>
      <c r="K84" s="5"/>
    </row>
    <row r="85" ht="22.5" customHeight="1">
      <c r="A85" s="13">
        <v>45748.62808204861</v>
      </c>
      <c r="B85" s="5" t="s">
        <v>558</v>
      </c>
      <c r="C85" s="5" t="s">
        <v>559</v>
      </c>
      <c r="D85" s="5" t="s">
        <v>555</v>
      </c>
      <c r="E85" s="14">
        <v>30186.0</v>
      </c>
      <c r="F85" s="5" t="s">
        <v>556</v>
      </c>
      <c r="G85" s="5" t="s">
        <v>79</v>
      </c>
      <c r="H85" s="5" t="s">
        <v>14</v>
      </c>
      <c r="I85" s="5" t="s">
        <v>557</v>
      </c>
      <c r="J85" s="5"/>
      <c r="K85" s="5"/>
    </row>
    <row r="86" ht="22.5" customHeight="1">
      <c r="A86" s="13">
        <v>45748.70920703704</v>
      </c>
      <c r="B86" s="5" t="s">
        <v>134</v>
      </c>
      <c r="C86" s="5" t="s">
        <v>135</v>
      </c>
      <c r="D86" s="5" t="s">
        <v>137</v>
      </c>
      <c r="E86" s="14">
        <v>31161.0</v>
      </c>
      <c r="F86" s="5" t="s">
        <v>560</v>
      </c>
      <c r="G86" s="5" t="s">
        <v>88</v>
      </c>
      <c r="H86" s="5" t="s">
        <v>14</v>
      </c>
      <c r="I86" s="5" t="s">
        <v>561</v>
      </c>
      <c r="J86" s="5"/>
      <c r="K86" s="5"/>
    </row>
    <row r="87" ht="22.5" customHeight="1">
      <c r="A87" s="13">
        <v>45748.79275356482</v>
      </c>
      <c r="B87" s="5" t="s">
        <v>563</v>
      </c>
      <c r="C87" s="5" t="s">
        <v>564</v>
      </c>
      <c r="D87" s="5" t="s">
        <v>565</v>
      </c>
      <c r="E87" s="14">
        <v>26889.0</v>
      </c>
      <c r="F87" s="5" t="s">
        <v>566</v>
      </c>
      <c r="G87" s="5" t="s">
        <v>100</v>
      </c>
      <c r="H87" s="5" t="s">
        <v>13</v>
      </c>
      <c r="I87" s="5"/>
      <c r="J87" s="5"/>
      <c r="K87" s="5" t="s">
        <v>335</v>
      </c>
    </row>
    <row r="88" ht="22.5" customHeight="1">
      <c r="A88" s="13">
        <v>45748.93774037037</v>
      </c>
      <c r="B88" s="5" t="s">
        <v>195</v>
      </c>
      <c r="C88" s="5" t="s">
        <v>196</v>
      </c>
      <c r="D88" s="5" t="s">
        <v>198</v>
      </c>
      <c r="E88" s="14">
        <v>32384.0</v>
      </c>
      <c r="F88" s="5" t="s">
        <v>567</v>
      </c>
      <c r="G88" s="5" t="s">
        <v>32</v>
      </c>
      <c r="H88" s="5" t="s">
        <v>13</v>
      </c>
      <c r="I88" s="5"/>
      <c r="J88" s="5"/>
      <c r="K88" s="5" t="s">
        <v>157</v>
      </c>
    </row>
    <row r="89" ht="22.5" customHeight="1">
      <c r="A89" s="13">
        <v>45748.947669710644</v>
      </c>
      <c r="B89" s="5" t="s">
        <v>571</v>
      </c>
      <c r="C89" s="5" t="s">
        <v>573</v>
      </c>
      <c r="D89" s="5" t="s">
        <v>574</v>
      </c>
      <c r="E89" s="14">
        <v>26778.0</v>
      </c>
      <c r="F89" s="5" t="s">
        <v>575</v>
      </c>
      <c r="G89" s="5" t="s">
        <v>112</v>
      </c>
      <c r="H89" s="5" t="s">
        <v>13</v>
      </c>
      <c r="I89" s="5"/>
      <c r="J89" s="5"/>
      <c r="K89" s="5" t="s">
        <v>157</v>
      </c>
    </row>
    <row r="90" ht="22.5" customHeight="1">
      <c r="A90" s="13">
        <v>45748.9674941088</v>
      </c>
      <c r="B90" s="5" t="s">
        <v>576</v>
      </c>
      <c r="C90" s="5" t="s">
        <v>578</v>
      </c>
      <c r="D90" s="5" t="s">
        <v>580</v>
      </c>
      <c r="E90" s="14">
        <v>23638.0</v>
      </c>
      <c r="F90" s="5" t="s">
        <v>581</v>
      </c>
      <c r="G90" s="5" t="s">
        <v>100</v>
      </c>
      <c r="H90" s="5" t="s">
        <v>13</v>
      </c>
      <c r="I90" s="5"/>
      <c r="J90" s="5"/>
      <c r="K90" s="5" t="s">
        <v>583</v>
      </c>
    </row>
  </sheetData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9.75"/>
    <col customWidth="1" min="4" max="4" width="15.38"/>
    <col customWidth="1" min="6" max="6" width="16.5"/>
    <col customWidth="1" min="7" max="7" width="18.38"/>
  </cols>
  <sheetData>
    <row r="1" ht="22.5" customHeight="1">
      <c r="A1" s="1" t="s">
        <v>1</v>
      </c>
      <c r="B1" s="1" t="s">
        <v>3</v>
      </c>
      <c r="C1" s="1" t="s">
        <v>5</v>
      </c>
      <c r="D1" s="4" t="s">
        <v>7</v>
      </c>
      <c r="E1" s="6" t="s">
        <v>11</v>
      </c>
      <c r="F1" s="2" t="s">
        <v>13</v>
      </c>
      <c r="G1" s="2" t="s">
        <v>14</v>
      </c>
    </row>
    <row r="2" ht="22.5" customHeight="1">
      <c r="A2" s="9">
        <v>1.0</v>
      </c>
      <c r="B2" s="9" t="s">
        <v>8</v>
      </c>
      <c r="C2" s="15">
        <f>VLOOKUP(B2,Tabela_2[],2,FALSE)</f>
        <v>45749</v>
      </c>
      <c r="D2" s="9" t="str">
        <f t="shared" ref="D2:D38" si="1">IF(E2&gt;0,"Sim","Não")</f>
        <v>Sim</v>
      </c>
      <c r="E2" s="9">
        <f>COUNTIF(Form_Responses1[[#ALL],[Cidade]],B2)</f>
        <v>5</v>
      </c>
      <c r="F2" s="9">
        <f>COUNTIFS('Respostas ao formulário 1'!$N$2:$N$2009,$F$1,'Respostas ao formulário 1'!$M$2:$M$2009,$B2)</f>
        <v>4</v>
      </c>
      <c r="G2" s="9">
        <f>COUNTIFS('Respostas ao formulário 1'!$N$2:$N$2009,Tabela_3[[#HEADERS],[Gestão municipal]],'Respostas ao formulário 1'!$M$2:$M$2009,$B2)</f>
        <v>1</v>
      </c>
    </row>
    <row r="3" ht="22.5" customHeight="1">
      <c r="A3" s="9">
        <v>2.0</v>
      </c>
      <c r="B3" s="9" t="s">
        <v>20</v>
      </c>
      <c r="C3" s="15">
        <f>VLOOKUP(B3,Tabela_2[],2,FALSE)</f>
        <v>45749</v>
      </c>
      <c r="D3" s="9" t="str">
        <f t="shared" si="1"/>
        <v>Sim</v>
      </c>
      <c r="E3" s="9">
        <f>COUNTIF(Form_Responses1[[#ALL],[Cidade]],B3)</f>
        <v>2</v>
      </c>
      <c r="F3" s="9">
        <f>COUNTIFS('Respostas ao formulário 1'!$N$2:$N$2009,$F$1,'Respostas ao formulário 1'!$M$2:$M$2009,$B3)</f>
        <v>0</v>
      </c>
      <c r="G3" s="9">
        <f>COUNTIFS('Respostas ao formulário 1'!$N$2:$N$2009,Tabela_3[[#HEADERS],[Gestão municipal]],'Respostas ao formulário 1'!$M$2:$M$2009,$B3)</f>
        <v>2</v>
      </c>
    </row>
    <row r="4" ht="22.5" customHeight="1">
      <c r="A4" s="9">
        <v>3.0</v>
      </c>
      <c r="B4" s="9" t="s">
        <v>24</v>
      </c>
      <c r="C4" s="15">
        <f>VLOOKUP(B4,Tabela_2[],2,FALSE)</f>
        <v>45749</v>
      </c>
      <c r="D4" s="9" t="str">
        <f t="shared" si="1"/>
        <v>Sim</v>
      </c>
      <c r="E4" s="9">
        <f>COUNTIF(Form_Responses1[[#ALL],[Cidade]],B4)</f>
        <v>2</v>
      </c>
      <c r="F4" s="9">
        <f>COUNTIFS('Respostas ao formulário 1'!$N$2:$N$2009,$F$1,'Respostas ao formulário 1'!$M$2:$M$2009,$B4)</f>
        <v>0</v>
      </c>
      <c r="G4" s="9">
        <f>COUNTIFS('Respostas ao formulário 1'!$N$2:$N$2009,Tabela_3[[#HEADERS],[Gestão municipal]],'Respostas ao formulário 1'!$M$2:$M$2009,$B4)</f>
        <v>2</v>
      </c>
    </row>
    <row r="5" ht="22.5" customHeight="1">
      <c r="A5" s="9">
        <v>4.0</v>
      </c>
      <c r="B5" s="9" t="s">
        <v>25</v>
      </c>
      <c r="C5" s="15">
        <f>VLOOKUP(B5,Tabela_2[],2,FALSE)</f>
        <v>45749</v>
      </c>
      <c r="D5" s="9" t="str">
        <f t="shared" si="1"/>
        <v>Sim</v>
      </c>
      <c r="E5" s="9">
        <f>COUNTIF(Form_Responses1[[#ALL],[Cidade]],B5)</f>
        <v>4</v>
      </c>
      <c r="F5" s="9">
        <f>COUNTIFS('Respostas ao formulário 1'!$N$2:$N$2009,$F$1,'Respostas ao formulário 1'!$M$2:$M$2009,$B5)</f>
        <v>0</v>
      </c>
      <c r="G5" s="9">
        <f>COUNTIFS('Respostas ao formulário 1'!$N$2:$N$2009,Tabela_3[[#HEADERS],[Gestão municipal]],'Respostas ao formulário 1'!$M$2:$M$2009,$B5)</f>
        <v>4</v>
      </c>
    </row>
    <row r="6" ht="22.5" customHeight="1">
      <c r="A6" s="9">
        <v>5.0</v>
      </c>
      <c r="B6" s="9" t="s">
        <v>28</v>
      </c>
      <c r="C6" s="15">
        <f>VLOOKUP(B6,Tabela_2[],2,FALSE)</f>
        <v>45749</v>
      </c>
      <c r="D6" s="9" t="str">
        <f t="shared" si="1"/>
        <v>Sim</v>
      </c>
      <c r="E6" s="9">
        <f>COUNTIF(Form_Responses1[[#ALL],[Cidade]],B6)</f>
        <v>2</v>
      </c>
      <c r="F6" s="9">
        <f>COUNTIFS('Respostas ao formulário 1'!$N$2:$N$2009,$F$1,'Respostas ao formulário 1'!$M$2:$M$2009,$B6)</f>
        <v>0</v>
      </c>
      <c r="G6" s="9">
        <f>COUNTIFS('Respostas ao formulário 1'!$N$2:$N$2009,Tabela_3[[#HEADERS],[Gestão municipal]],'Respostas ao formulário 1'!$M$2:$M$2009,$B6)</f>
        <v>2</v>
      </c>
    </row>
    <row r="7" ht="22.5" customHeight="1">
      <c r="A7" s="9">
        <v>6.0</v>
      </c>
      <c r="B7" s="9" t="s">
        <v>32</v>
      </c>
      <c r="C7" s="15">
        <f>VLOOKUP(B7,Tabela_2[],2,FALSE)</f>
        <v>45749</v>
      </c>
      <c r="D7" s="9" t="str">
        <f t="shared" si="1"/>
        <v>Sim</v>
      </c>
      <c r="E7" s="9">
        <f>COUNTIF(Form_Responses1[[#ALL],[Cidade]],B7)</f>
        <v>4</v>
      </c>
      <c r="F7" s="9">
        <f>COUNTIFS('Respostas ao formulário 1'!$N$2:$N$2009,$F$1,'Respostas ao formulário 1'!$M$2:$M$2009,$B7)</f>
        <v>2</v>
      </c>
      <c r="G7" s="9">
        <f>COUNTIFS('Respostas ao formulário 1'!$N$2:$N$2009,Tabela_3[[#HEADERS],[Gestão municipal]],'Respostas ao formulário 1'!$M$2:$M$2009,$B7)</f>
        <v>2</v>
      </c>
    </row>
    <row r="8" ht="22.5" customHeight="1">
      <c r="A8" s="9">
        <v>7.0</v>
      </c>
      <c r="B8" s="9" t="s">
        <v>35</v>
      </c>
      <c r="C8" s="15">
        <f>VLOOKUP(B8,Tabela_2[],2,FALSE)</f>
        <v>45749</v>
      </c>
      <c r="D8" s="9" t="str">
        <f t="shared" si="1"/>
        <v>Sim</v>
      </c>
      <c r="E8" s="9">
        <f>COUNTIF(Form_Responses1[[#ALL],[Cidade]],B8)</f>
        <v>4</v>
      </c>
      <c r="F8" s="9">
        <f>COUNTIFS('Respostas ao formulário 1'!$N$2:$N$2009,$F$1,'Respostas ao formulário 1'!$M$2:$M$2009,$B8)</f>
        <v>1</v>
      </c>
      <c r="G8" s="9">
        <f>COUNTIFS('Respostas ao formulário 1'!$N$2:$N$2009,Tabela_3[[#HEADERS],[Gestão municipal]],'Respostas ao formulário 1'!$M$2:$M$2009,$B8)</f>
        <v>3</v>
      </c>
    </row>
    <row r="9" ht="22.5" customHeight="1">
      <c r="A9" s="9">
        <v>8.0</v>
      </c>
      <c r="B9" s="9" t="s">
        <v>40</v>
      </c>
      <c r="C9" s="15">
        <f>VLOOKUP(B9,Tabela_2[],2,FALSE)</f>
        <v>45749</v>
      </c>
      <c r="D9" s="9" t="str">
        <f t="shared" si="1"/>
        <v>Sim</v>
      </c>
      <c r="E9" s="9">
        <f>COUNTIF(Form_Responses1[[#ALL],[Cidade]],B9)</f>
        <v>2</v>
      </c>
      <c r="F9" s="9">
        <f>COUNTIFS('Respostas ao formulário 1'!$N$2:$N$2009,$F$1,'Respostas ao formulário 1'!$M$2:$M$2009,$B9)</f>
        <v>1</v>
      </c>
      <c r="G9" s="9">
        <f>COUNTIFS('Respostas ao formulário 1'!$N$2:$N$2009,Tabela_3[[#HEADERS],[Gestão municipal]],'Respostas ao formulário 1'!$M$2:$M$2009,$B9)</f>
        <v>1</v>
      </c>
    </row>
    <row r="10" ht="22.5" customHeight="1">
      <c r="A10" s="9">
        <v>9.0</v>
      </c>
      <c r="B10" s="9" t="s">
        <v>41</v>
      </c>
      <c r="C10" s="15">
        <f>VLOOKUP(B10,Tabela_2[],2,FALSE)</f>
        <v>45749</v>
      </c>
      <c r="D10" s="9" t="str">
        <f t="shared" si="1"/>
        <v>Sim</v>
      </c>
      <c r="E10" s="9">
        <f>COUNTIF(Form_Responses1[[#ALL],[Cidade]],B10)</f>
        <v>1</v>
      </c>
      <c r="F10" s="9">
        <f>COUNTIFS('Respostas ao formulário 1'!$N$2:$N$2009,$F$1,'Respostas ao formulário 1'!$M$2:$M$2009,$B10)</f>
        <v>0</v>
      </c>
      <c r="G10" s="9">
        <f>COUNTIFS('Respostas ao formulário 1'!$N$2:$N$2009,Tabela_3[[#HEADERS],[Gestão municipal]],'Respostas ao formulário 1'!$M$2:$M$2009,$B10)</f>
        <v>1</v>
      </c>
    </row>
    <row r="11" ht="22.5" customHeight="1">
      <c r="A11" s="9">
        <v>10.0</v>
      </c>
      <c r="B11" s="9" t="s">
        <v>42</v>
      </c>
      <c r="C11" s="15">
        <f>VLOOKUP(B11,Tabela_2[],2,FALSE)</f>
        <v>45749</v>
      </c>
      <c r="D11" s="9" t="str">
        <f t="shared" si="1"/>
        <v>Sim</v>
      </c>
      <c r="E11" s="9">
        <f>COUNTIF(Form_Responses1[[#ALL],[Cidade]],B11)</f>
        <v>4</v>
      </c>
      <c r="F11" s="9">
        <f>COUNTIFS('Respostas ao formulário 1'!$N$2:$N$2009,$F$1,'Respostas ao formulário 1'!$M$2:$M$2009,$B11)</f>
        <v>0</v>
      </c>
      <c r="G11" s="9">
        <f>COUNTIFS('Respostas ao formulário 1'!$N$2:$N$2009,Tabela_3[[#HEADERS],[Gestão municipal]],'Respostas ao formulário 1'!$M$2:$M$2009,$B11)</f>
        <v>4</v>
      </c>
    </row>
    <row r="12" ht="22.5" customHeight="1">
      <c r="A12" s="9">
        <v>11.0</v>
      </c>
      <c r="B12" s="9" t="s">
        <v>43</v>
      </c>
      <c r="C12" s="15">
        <f>VLOOKUP(B12,Tabela_2[],2,FALSE)</f>
        <v>45749</v>
      </c>
      <c r="D12" s="9" t="str">
        <f t="shared" si="1"/>
        <v>Sim</v>
      </c>
      <c r="E12" s="9">
        <f>COUNTIF(Form_Responses1[[#ALL],[Cidade]],B12)</f>
        <v>6</v>
      </c>
      <c r="F12" s="9">
        <f>COUNTIFS('Respostas ao formulário 1'!$N$2:$N$2009,$F$1,'Respostas ao formulário 1'!$M$2:$M$2009,$B12)</f>
        <v>3</v>
      </c>
      <c r="G12" s="9">
        <f>COUNTIFS('Respostas ao formulário 1'!$N$2:$N$2009,Tabela_3[[#HEADERS],[Gestão municipal]],'Respostas ao formulário 1'!$M$2:$M$2009,$B12)</f>
        <v>3</v>
      </c>
    </row>
    <row r="13" ht="22.5" customHeight="1">
      <c r="A13" s="9">
        <v>12.0</v>
      </c>
      <c r="B13" s="9" t="s">
        <v>46</v>
      </c>
      <c r="C13" s="15">
        <f>VLOOKUP(B13,Tabela_2[],2,FALSE)</f>
        <v>45749</v>
      </c>
      <c r="D13" s="9" t="str">
        <f t="shared" si="1"/>
        <v>Sim</v>
      </c>
      <c r="E13" s="9">
        <f>COUNTIF(Form_Responses1[[#ALL],[Cidade]],B13)</f>
        <v>4</v>
      </c>
      <c r="F13" s="9">
        <f>COUNTIFS('Respostas ao formulário 1'!$N$2:$N$2009,$F$1,'Respostas ao formulário 1'!$M$2:$M$2009,$B13)</f>
        <v>1</v>
      </c>
      <c r="G13" s="9">
        <f>COUNTIFS('Respostas ao formulário 1'!$N$2:$N$2009,Tabela_3[[#HEADERS],[Gestão municipal]],'Respostas ao formulário 1'!$M$2:$M$2009,$B13)</f>
        <v>3</v>
      </c>
    </row>
    <row r="14" ht="22.5" customHeight="1">
      <c r="A14" s="9">
        <v>13.0</v>
      </c>
      <c r="B14" s="9" t="s">
        <v>49</v>
      </c>
      <c r="C14" s="15">
        <f>VLOOKUP(B14,Tabela_2[],2,FALSE)</f>
        <v>45749</v>
      </c>
      <c r="D14" s="9" t="str">
        <f t="shared" si="1"/>
        <v>Não</v>
      </c>
      <c r="E14" s="9">
        <f>COUNTIF(Form_Responses1[[#ALL],[Cidade]],B14)</f>
        <v>0</v>
      </c>
      <c r="F14" s="9">
        <f>COUNTIFS('Respostas ao formulário 1'!$N$2:$N$2009,$F$1,'Respostas ao formulário 1'!$M$2:$M$2009,$B14)</f>
        <v>0</v>
      </c>
      <c r="G14" s="9">
        <f>COUNTIFS('Respostas ao formulário 1'!$N$2:$N$2009,Tabela_3[[#HEADERS],[Gestão municipal]],'Respostas ao formulário 1'!$M$2:$M$2009,$B14)</f>
        <v>0</v>
      </c>
    </row>
    <row r="15" ht="22.5" customHeight="1">
      <c r="A15" s="9">
        <v>14.0</v>
      </c>
      <c r="B15" s="9" t="s">
        <v>50</v>
      </c>
      <c r="C15" s="15">
        <f>VLOOKUP(B15,Tabela_2[],2,FALSE)</f>
        <v>45749</v>
      </c>
      <c r="D15" s="9" t="str">
        <f t="shared" si="1"/>
        <v>Sim</v>
      </c>
      <c r="E15" s="9">
        <f>COUNTIF(Form_Responses1[[#ALL],[Cidade]],B15)</f>
        <v>5</v>
      </c>
      <c r="F15" s="9">
        <f>COUNTIFS('Respostas ao formulário 1'!$N$2:$N$2009,$F$1,'Respostas ao formulário 1'!$M$2:$M$2009,$B15)</f>
        <v>1</v>
      </c>
      <c r="G15" s="9">
        <f>COUNTIFS('Respostas ao formulário 1'!$N$2:$N$2009,Tabela_3[[#HEADERS],[Gestão municipal]],'Respostas ao formulário 1'!$M$2:$M$2009,$B15)</f>
        <v>4</v>
      </c>
    </row>
    <row r="16" ht="22.5" customHeight="1">
      <c r="A16" s="9">
        <v>15.0</v>
      </c>
      <c r="B16" s="9" t="s">
        <v>52</v>
      </c>
      <c r="C16" s="15">
        <f>VLOOKUP(B16,Tabela_2[],2,FALSE)</f>
        <v>45749</v>
      </c>
      <c r="D16" s="9" t="str">
        <f t="shared" si="1"/>
        <v>Sim</v>
      </c>
      <c r="E16" s="9">
        <f>COUNTIF(Form_Responses1[[#ALL],[Cidade]],B16)</f>
        <v>1</v>
      </c>
      <c r="F16" s="9">
        <f>COUNTIFS('Respostas ao formulário 1'!$N$2:$N$2009,$F$1,'Respostas ao formulário 1'!$M$2:$M$2009,$B16)</f>
        <v>0</v>
      </c>
      <c r="G16" s="9">
        <f>COUNTIFS('Respostas ao formulário 1'!$N$2:$N$2009,Tabela_3[[#HEADERS],[Gestão municipal]],'Respostas ao formulário 1'!$M$2:$M$2009,$B16)</f>
        <v>1</v>
      </c>
    </row>
    <row r="17" ht="22.5" customHeight="1">
      <c r="A17" s="9">
        <v>16.0</v>
      </c>
      <c r="B17" s="9" t="s">
        <v>55</v>
      </c>
      <c r="C17" s="15">
        <f>VLOOKUP(B17,Tabela_2[],2,FALSE)</f>
        <v>45749</v>
      </c>
      <c r="D17" s="9" t="str">
        <f t="shared" si="1"/>
        <v>Sim</v>
      </c>
      <c r="E17" s="9">
        <f>COUNTIF(Form_Responses1[[#ALL],[Cidade]],B17)</f>
        <v>3</v>
      </c>
      <c r="F17" s="9">
        <f>COUNTIFS('Respostas ao formulário 1'!$N$2:$N$2009,$F$1,'Respostas ao formulário 1'!$M$2:$M$2009,$B17)</f>
        <v>1</v>
      </c>
      <c r="G17" s="9">
        <f>COUNTIFS('Respostas ao formulário 1'!$N$2:$N$2009,Tabela_3[[#HEADERS],[Gestão municipal]],'Respostas ao formulário 1'!$M$2:$M$2009,$B17)</f>
        <v>2</v>
      </c>
    </row>
    <row r="18" ht="22.5" customHeight="1">
      <c r="A18" s="9">
        <v>17.0</v>
      </c>
      <c r="B18" s="9" t="s">
        <v>59</v>
      </c>
      <c r="C18" s="15">
        <f>VLOOKUP(B18,Tabela_2[],2,FALSE)</f>
        <v>45749</v>
      </c>
      <c r="D18" s="9" t="str">
        <f t="shared" si="1"/>
        <v>Sim</v>
      </c>
      <c r="E18" s="9">
        <f>COUNTIF(Form_Responses1[[#ALL],[Cidade]],B18)</f>
        <v>5</v>
      </c>
      <c r="F18" s="9">
        <f>COUNTIFS('Respostas ao formulário 1'!$N$2:$N$2009,$F$1,'Respostas ao formulário 1'!$M$2:$M$2009,$B18)</f>
        <v>0</v>
      </c>
      <c r="G18" s="9">
        <f>COUNTIFS('Respostas ao formulário 1'!$N$2:$N$2009,Tabela_3[[#HEADERS],[Gestão municipal]],'Respostas ao formulário 1'!$M$2:$M$2009,$B18)</f>
        <v>5</v>
      </c>
    </row>
    <row r="19" ht="22.5" customHeight="1">
      <c r="A19" s="9">
        <v>18.0</v>
      </c>
      <c r="B19" s="9" t="s">
        <v>63</v>
      </c>
      <c r="C19" s="15">
        <f>VLOOKUP(B19,Tabela_2[],2,FALSE)</f>
        <v>45749</v>
      </c>
      <c r="D19" s="9" t="str">
        <f t="shared" si="1"/>
        <v>Sim</v>
      </c>
      <c r="E19" s="9">
        <f>COUNTIF(Form_Responses1[[#ALL],[Cidade]],B19)</f>
        <v>2</v>
      </c>
      <c r="F19" s="9">
        <f>COUNTIFS('Respostas ao formulário 1'!$N$2:$N$2009,$F$1,'Respostas ao formulário 1'!$M$2:$M$2009,$B19)</f>
        <v>0</v>
      </c>
      <c r="G19" s="9">
        <f>COUNTIFS('Respostas ao formulário 1'!$N$2:$N$2009,Tabela_3[[#HEADERS],[Gestão municipal]],'Respostas ao formulário 1'!$M$2:$M$2009,$B19)</f>
        <v>2</v>
      </c>
    </row>
    <row r="20" ht="22.5" customHeight="1">
      <c r="A20" s="9">
        <v>19.0</v>
      </c>
      <c r="B20" s="9" t="s">
        <v>65</v>
      </c>
      <c r="C20" s="15">
        <f>VLOOKUP(B20, Tabela_2[], 2, FALSE)</f>
        <v>45750</v>
      </c>
      <c r="D20" s="9" t="str">
        <f t="shared" si="1"/>
        <v>Sim</v>
      </c>
      <c r="E20" s="9">
        <f>COUNTIF(Form_Responses1[[#ALL],[Cidade]],B20)</f>
        <v>2</v>
      </c>
      <c r="F20" s="9">
        <f>COUNTIFS('Respostas ao formulário 1'!$N$2:$N$2009,$F$1,'Respostas ao formulário 1'!$M$2:$M$2009,$B20)</f>
        <v>1</v>
      </c>
      <c r="G20" s="9">
        <f>COUNTIFS('Respostas ao formulário 1'!$N$2:$N$2009,Tabela_3[[#HEADERS],[Gestão municipal]],'Respostas ao formulário 1'!$M$2:$M$2009,$B20)</f>
        <v>1</v>
      </c>
    </row>
    <row r="21" ht="22.5" customHeight="1">
      <c r="A21" s="9">
        <v>20.0</v>
      </c>
      <c r="B21" s="9" t="s">
        <v>115</v>
      </c>
      <c r="C21" s="15">
        <f>VLOOKUP(B21, Tabela_2[], 2, FALSE)</f>
        <v>45749</v>
      </c>
      <c r="D21" s="9" t="str">
        <f t="shared" si="1"/>
        <v>Sim</v>
      </c>
      <c r="E21" s="9">
        <f>COUNTIF(Form_Responses1[[#ALL],[Cidade]],B21)</f>
        <v>3</v>
      </c>
      <c r="F21" s="9">
        <f>COUNTIFS('Respostas ao formulário 1'!$N$2:$N$2009,$F$1,'Respostas ao formulário 1'!$M$2:$M$2009,$B21)</f>
        <v>0</v>
      </c>
      <c r="G21" s="9">
        <f>COUNTIFS('Respostas ao formulário 1'!$N$2:$N$2009,Tabela_3[[#HEADERS],[Gestão municipal]],'Respostas ao formulário 1'!$M$2:$M$2009,$B21)</f>
        <v>3</v>
      </c>
    </row>
    <row r="22" ht="22.5" customHeight="1">
      <c r="A22" s="9">
        <v>1.0</v>
      </c>
      <c r="B22" s="9" t="s">
        <v>68</v>
      </c>
      <c r="C22" s="15">
        <f>VLOOKUP(B22,Tabela_2[],2,FALSE)</f>
        <v>45750</v>
      </c>
      <c r="D22" s="9" t="str">
        <f t="shared" si="1"/>
        <v>Sim</v>
      </c>
      <c r="E22" s="9">
        <f>COUNTIF(Form_Responses1[[#ALL],[Cidade]],B22)</f>
        <v>2</v>
      </c>
      <c r="F22" s="9">
        <f>COUNTIFS('Respostas ao formulário 1'!$N$2:$N$2009,$F$1,'Respostas ao formulário 1'!$M$2:$M$2009,$B22)</f>
        <v>1</v>
      </c>
      <c r="G22" s="9">
        <f>COUNTIFS('Respostas ao formulário 1'!$N$2:$N$2009,Tabela_3[[#HEADERS],[Gestão municipal]],'Respostas ao formulário 1'!$M$2:$M$2009,$B22)</f>
        <v>1</v>
      </c>
    </row>
    <row r="23" ht="22.5" customHeight="1">
      <c r="A23" s="9">
        <v>2.0</v>
      </c>
      <c r="B23" s="9" t="s">
        <v>72</v>
      </c>
      <c r="C23" s="15">
        <f>VLOOKUP(B23,Tabela_2[],2,FALSE)</f>
        <v>45750</v>
      </c>
      <c r="D23" s="9" t="str">
        <f t="shared" si="1"/>
        <v>Sim</v>
      </c>
      <c r="E23" s="9">
        <f>COUNTIF(Form_Responses1[[#ALL],[Cidade]],B23)</f>
        <v>2</v>
      </c>
      <c r="F23" s="9">
        <f>COUNTIFS('Respostas ao formulário 1'!$N$2:$N$2009,$F$1,'Respostas ao formulário 1'!$M$2:$M$2009,$B23)</f>
        <v>0</v>
      </c>
      <c r="G23" s="9">
        <f>COUNTIFS('Respostas ao formulário 1'!$N$2:$N$2009,Tabela_3[[#HEADERS],[Gestão municipal]],'Respostas ao formulário 1'!$M$2:$M$2009,$B23)</f>
        <v>2</v>
      </c>
    </row>
    <row r="24" ht="22.5" customHeight="1">
      <c r="A24" s="9">
        <v>3.0</v>
      </c>
      <c r="B24" s="9" t="s">
        <v>74</v>
      </c>
      <c r="C24" s="15">
        <f>VLOOKUP(B24,Tabela_2[],2,FALSE)</f>
        <v>45750</v>
      </c>
      <c r="D24" s="9" t="str">
        <f t="shared" si="1"/>
        <v>Sim</v>
      </c>
      <c r="E24" s="9">
        <f>COUNTIF(Form_Responses1[[#ALL],[Cidade]],B24)</f>
        <v>4</v>
      </c>
      <c r="F24" s="9">
        <f>COUNTIFS('Respostas ao formulário 1'!$N$2:$N$2009,$F$1,'Respostas ao formulário 1'!$M$2:$M$2009,$B24)</f>
        <v>3</v>
      </c>
      <c r="G24" s="9">
        <f>COUNTIFS('Respostas ao formulário 1'!$N$2:$N$2009,Tabela_3[[#HEADERS],[Gestão municipal]],'Respostas ao formulário 1'!$M$2:$M$2009,$B24)</f>
        <v>1</v>
      </c>
    </row>
    <row r="25" ht="22.5" customHeight="1">
      <c r="A25" s="9">
        <v>4.0</v>
      </c>
      <c r="B25" s="9" t="s">
        <v>70</v>
      </c>
      <c r="C25" s="15">
        <f>VLOOKUP(B25,Tabela_2[],2,FALSE)</f>
        <v>45750</v>
      </c>
      <c r="D25" s="9" t="str">
        <f t="shared" si="1"/>
        <v>Sim</v>
      </c>
      <c r="E25" s="9">
        <f>COUNTIF(Form_Responses1[[#ALL],[Cidade]],B25)</f>
        <v>4</v>
      </c>
      <c r="F25" s="9">
        <f>COUNTIFS('Respostas ao formulário 1'!$N$2:$N$2009,$F$1,'Respostas ao formulário 1'!$M$2:$M$2009,$B25)</f>
        <v>1</v>
      </c>
      <c r="G25" s="9">
        <f>COUNTIFS('Respostas ao formulário 1'!$N$2:$N$2009,Tabela_3[[#HEADERS],[Gestão municipal]],'Respostas ao formulário 1'!$M$2:$M$2009,$B25)</f>
        <v>3</v>
      </c>
    </row>
    <row r="26" ht="22.5" customHeight="1">
      <c r="A26" s="9">
        <v>5.0</v>
      </c>
      <c r="B26" s="9" t="s">
        <v>79</v>
      </c>
      <c r="C26" s="15">
        <f>VLOOKUP(B26,Tabela_2[],2,FALSE)</f>
        <v>45750</v>
      </c>
      <c r="D26" s="9" t="str">
        <f t="shared" si="1"/>
        <v>Sim</v>
      </c>
      <c r="E26" s="9">
        <f>COUNTIF(Form_Responses1[[#ALL],[Cidade]],B26)</f>
        <v>1</v>
      </c>
      <c r="F26" s="9">
        <f>COUNTIFS('Respostas ao formulário 1'!$N$2:$N$2009,$F$1,'Respostas ao formulário 1'!$M$2:$M$2009,$B26)</f>
        <v>0</v>
      </c>
      <c r="G26" s="9">
        <f>COUNTIFS('Respostas ao formulário 1'!$N$2:$N$2009,Tabela_3[[#HEADERS],[Gestão municipal]],'Respostas ao formulário 1'!$M$2:$M$2009,$B26)</f>
        <v>1</v>
      </c>
    </row>
    <row r="27" ht="22.5" customHeight="1">
      <c r="A27" s="9">
        <v>6.0</v>
      </c>
      <c r="B27" s="9" t="s">
        <v>83</v>
      </c>
      <c r="C27" s="15">
        <f>VLOOKUP(B27,Tabela_2[],2,FALSE)</f>
        <v>45750</v>
      </c>
      <c r="D27" s="9" t="str">
        <f t="shared" si="1"/>
        <v>Sim</v>
      </c>
      <c r="E27" s="9">
        <f>COUNTIF(Form_Responses1[[#ALL],[Cidade]],B27)</f>
        <v>3</v>
      </c>
      <c r="F27" s="9">
        <f>COUNTIFS('Respostas ao formulário 1'!$N$2:$N$2009,$F$1,'Respostas ao formulário 1'!$M$2:$M$2009,$B27)</f>
        <v>2</v>
      </c>
      <c r="G27" s="9">
        <f>COUNTIFS('Respostas ao formulário 1'!$N$2:$N$2009,Tabela_3[[#HEADERS],[Gestão municipal]],'Respostas ao formulário 1'!$M$2:$M$2009,$B27)</f>
        <v>1</v>
      </c>
    </row>
    <row r="28" ht="22.5" customHeight="1">
      <c r="A28" s="9">
        <v>7.0</v>
      </c>
      <c r="B28" s="9" t="s">
        <v>88</v>
      </c>
      <c r="C28" s="15">
        <f>VLOOKUP(B28,Tabela_2[],2,FALSE)</f>
        <v>45750</v>
      </c>
      <c r="D28" s="9" t="str">
        <f t="shared" si="1"/>
        <v>Sim</v>
      </c>
      <c r="E28" s="9">
        <f>COUNTIF(Form_Responses1[[#ALL],[Cidade]],B28)</f>
        <v>2</v>
      </c>
      <c r="F28" s="9">
        <f>COUNTIFS('Respostas ao formulário 1'!$N$2:$N$2009,$F$1,'Respostas ao formulário 1'!$M$2:$M$2009,$B28)</f>
        <v>1</v>
      </c>
      <c r="G28" s="9">
        <f>COUNTIFS('Respostas ao formulário 1'!$N$2:$N$2009,Tabela_3[[#HEADERS],[Gestão municipal]],'Respostas ao formulário 1'!$M$2:$M$2009,$B28)</f>
        <v>1</v>
      </c>
    </row>
    <row r="29" ht="22.5" customHeight="1">
      <c r="A29" s="9">
        <v>8.0</v>
      </c>
      <c r="B29" s="9" t="s">
        <v>93</v>
      </c>
      <c r="C29" s="15">
        <f>VLOOKUP(B29,Tabela_2[],2,FALSE)</f>
        <v>45750</v>
      </c>
      <c r="D29" s="9" t="str">
        <f t="shared" si="1"/>
        <v>Sim</v>
      </c>
      <c r="E29" s="9">
        <f>COUNTIF(Form_Responses1[[#ALL],[Cidade]],B29)</f>
        <v>3</v>
      </c>
      <c r="F29" s="9">
        <f>COUNTIFS('Respostas ao formulário 1'!$N$2:$N$2009,$F$1,'Respostas ao formulário 1'!$M$2:$M$2009,$B29)</f>
        <v>2</v>
      </c>
      <c r="G29" s="9">
        <f>COUNTIFS('Respostas ao formulário 1'!$N$2:$N$2009,Tabela_3[[#HEADERS],[Gestão municipal]],'Respostas ao formulário 1'!$M$2:$M$2009,$B29)</f>
        <v>1</v>
      </c>
    </row>
    <row r="30" ht="22.5" customHeight="1">
      <c r="A30" s="9">
        <v>9.0</v>
      </c>
      <c r="B30" s="9" t="s">
        <v>96</v>
      </c>
      <c r="C30" s="15">
        <f>VLOOKUP(B30,Tabela_2[],2,FALSE)</f>
        <v>45750</v>
      </c>
      <c r="D30" s="9" t="str">
        <f t="shared" si="1"/>
        <v>Sim</v>
      </c>
      <c r="E30" s="9">
        <f>COUNTIF(Form_Responses1[[#ALL],[Cidade]],B30)</f>
        <v>4</v>
      </c>
      <c r="F30" s="9">
        <f>COUNTIFS('Respostas ao formulário 1'!$N$2:$N$2009,$F$1,'Respostas ao formulário 1'!$M$2:$M$2009,$B30)</f>
        <v>2</v>
      </c>
      <c r="G30" s="9">
        <f>COUNTIFS('Respostas ao formulário 1'!$N$2:$N$2009,Tabela_3[[#HEADERS],[Gestão municipal]],'Respostas ao formulário 1'!$M$2:$M$2009,$B30)</f>
        <v>2</v>
      </c>
    </row>
    <row r="31" ht="22.5" customHeight="1">
      <c r="A31" s="9">
        <v>10.0</v>
      </c>
      <c r="B31" s="9" t="s">
        <v>37</v>
      </c>
      <c r="C31" s="15">
        <f>VLOOKUP(B31,Tabela_2[],2,FALSE)</f>
        <v>45750</v>
      </c>
      <c r="D31" s="9" t="str">
        <f t="shared" si="1"/>
        <v>Sim</v>
      </c>
      <c r="E31" s="9">
        <f>COUNTIF(Form_Responses1[[#ALL],[Cidade]],B31)</f>
        <v>2</v>
      </c>
      <c r="F31" s="9">
        <f>COUNTIFS('Respostas ao formulário 1'!$N$2:$N$2009,$F$1,'Respostas ao formulário 1'!$M$2:$M$2009,$B31)</f>
        <v>0</v>
      </c>
      <c r="G31" s="9">
        <f>COUNTIFS('Respostas ao formulário 1'!$N$2:$N$2009,Tabela_3[[#HEADERS],[Gestão municipal]],'Respostas ao formulário 1'!$M$2:$M$2009,$B31)</f>
        <v>2</v>
      </c>
    </row>
    <row r="32" ht="22.5" customHeight="1">
      <c r="A32" s="9">
        <v>11.0</v>
      </c>
      <c r="B32" s="9" t="s">
        <v>100</v>
      </c>
      <c r="C32" s="15">
        <f>VLOOKUP(B32,Tabela_2[],2,FALSE)</f>
        <v>45750</v>
      </c>
      <c r="D32" s="9" t="str">
        <f t="shared" si="1"/>
        <v>Sim</v>
      </c>
      <c r="E32" s="9">
        <f>COUNTIF(Form_Responses1[[#ALL],[Cidade]],B32)</f>
        <v>3</v>
      </c>
      <c r="F32" s="9">
        <f>COUNTIFS('Respostas ao formulário 1'!$N$2:$N$2009,$F$1,'Respostas ao formulário 1'!$M$2:$M$2009,$B32)</f>
        <v>2</v>
      </c>
      <c r="G32" s="9">
        <f>COUNTIFS('Respostas ao formulário 1'!$N$2:$N$2009,Tabela_3[[#HEADERS],[Gestão municipal]],'Respostas ao formulário 1'!$M$2:$M$2009,$B32)</f>
        <v>1</v>
      </c>
    </row>
    <row r="33" ht="22.5" customHeight="1">
      <c r="A33" s="9">
        <v>12.0</v>
      </c>
      <c r="B33" s="9" t="s">
        <v>102</v>
      </c>
      <c r="C33" s="15">
        <f>VLOOKUP(B33,Tabela_2[],2,FALSE)</f>
        <v>45750</v>
      </c>
      <c r="D33" s="9" t="str">
        <f t="shared" si="1"/>
        <v>Sim</v>
      </c>
      <c r="E33" s="9">
        <f>COUNTIF(Form_Responses1[[#ALL],[Cidade]],B33)</f>
        <v>4</v>
      </c>
      <c r="F33" s="9">
        <f>COUNTIFS('Respostas ao formulário 1'!$N$2:$N$2009,$F$1,'Respostas ao formulário 1'!$M$2:$M$2009,$B33)</f>
        <v>2</v>
      </c>
      <c r="G33" s="9">
        <f>COUNTIFS('Respostas ao formulário 1'!$N$2:$N$2009,Tabela_3[[#HEADERS],[Gestão municipal]],'Respostas ao formulário 1'!$M$2:$M$2009,$B33)</f>
        <v>2</v>
      </c>
    </row>
    <row r="34" ht="22.5" customHeight="1">
      <c r="A34" s="9">
        <v>13.0</v>
      </c>
      <c r="B34" s="9" t="s">
        <v>104</v>
      </c>
      <c r="C34" s="15">
        <f>VLOOKUP(B34,Tabela_2[],2,FALSE)</f>
        <v>45750</v>
      </c>
      <c r="D34" s="9" t="str">
        <f t="shared" si="1"/>
        <v>Sim</v>
      </c>
      <c r="E34" s="9">
        <f>COUNTIF(Form_Responses1[[#ALL],[Cidade]],B34)</f>
        <v>1</v>
      </c>
      <c r="F34" s="9">
        <f>COUNTIFS('Respostas ao formulário 1'!$N$2:$N$2009,$F$1,'Respostas ao formulário 1'!$M$2:$M$2009,$B34)</f>
        <v>0</v>
      </c>
      <c r="G34" s="9">
        <f>COUNTIFS('Respostas ao formulário 1'!$N$2:$N$2009,Tabela_3[[#HEADERS],[Gestão municipal]],'Respostas ao formulário 1'!$M$2:$M$2009,$B34)</f>
        <v>1</v>
      </c>
    </row>
    <row r="35" ht="22.5" customHeight="1">
      <c r="A35" s="9">
        <v>14.0</v>
      </c>
      <c r="B35" s="9" t="s">
        <v>105</v>
      </c>
      <c r="C35" s="15">
        <f>VLOOKUP(B35,Tabela_2[],2,FALSE)</f>
        <v>45750</v>
      </c>
      <c r="D35" s="9" t="str">
        <f t="shared" si="1"/>
        <v>Não</v>
      </c>
      <c r="E35" s="9">
        <f>COUNTIF(Form_Responses1[[#ALL],[Cidade]],B35)</f>
        <v>0</v>
      </c>
      <c r="F35" s="9">
        <f>COUNTIFS('Respostas ao formulário 1'!$N$2:$N$2009,$F$1,'Respostas ao formulário 1'!$M$2:$M$2009,$B35)</f>
        <v>0</v>
      </c>
      <c r="G35" s="9">
        <f>COUNTIFS('Respostas ao formulário 1'!$N$2:$N$2009,Tabela_3[[#HEADERS],[Gestão municipal]],'Respostas ao formulário 1'!$M$2:$M$2009,$B35)</f>
        <v>0</v>
      </c>
    </row>
    <row r="36" ht="22.5" customHeight="1">
      <c r="A36" s="9">
        <v>15.0</v>
      </c>
      <c r="B36" s="9" t="s">
        <v>108</v>
      </c>
      <c r="C36" s="15">
        <f>VLOOKUP(B36,Tabela_2[],2,FALSE)</f>
        <v>45750</v>
      </c>
      <c r="D36" s="9" t="str">
        <f t="shared" si="1"/>
        <v>Sim</v>
      </c>
      <c r="E36" s="9">
        <f>COUNTIF(Form_Responses1[[#ALL],[Cidade]],B36)</f>
        <v>3</v>
      </c>
      <c r="F36" s="9">
        <f>COUNTIFS('Respostas ao formulário 1'!$N$2:$N$2009,$F$1,'Respostas ao formulário 1'!$M$2:$M$2009,$B36)</f>
        <v>0</v>
      </c>
      <c r="G36" s="9">
        <f>COUNTIFS('Respostas ao formulário 1'!$N$2:$N$2009,Tabela_3[[#HEADERS],[Gestão municipal]],'Respostas ao formulário 1'!$M$2:$M$2009,$B36)</f>
        <v>3</v>
      </c>
    </row>
    <row r="37" ht="22.5" customHeight="1">
      <c r="A37" s="9">
        <v>16.0</v>
      </c>
      <c r="B37" s="9" t="s">
        <v>112</v>
      </c>
      <c r="C37" s="15">
        <f>VLOOKUP(B37,Tabela_2[],2,FALSE)</f>
        <v>45750</v>
      </c>
      <c r="D37" s="9" t="str">
        <f t="shared" si="1"/>
        <v>Sim</v>
      </c>
      <c r="E37" s="9">
        <f>COUNTIF(Form_Responses1[[#ALL],[Cidade]],B37)</f>
        <v>1</v>
      </c>
      <c r="F37" s="9">
        <f>COUNTIFS('Respostas ao formulário 1'!$N$2:$N$2009,$F$1,'Respostas ao formulário 1'!$M$2:$M$2009,$B37)</f>
        <v>1</v>
      </c>
      <c r="G37" s="9">
        <f>COUNTIFS('Respostas ao formulário 1'!$N$2:$N$2009,Tabela_3[[#HEADERS],[Gestão municipal]],'Respostas ao formulário 1'!$M$2:$M$2009,$B37)</f>
        <v>0</v>
      </c>
    </row>
    <row r="38" ht="22.5" customHeight="1">
      <c r="A38" s="9">
        <v>17.0</v>
      </c>
      <c r="B38" s="9" t="s">
        <v>38</v>
      </c>
      <c r="C38" s="15">
        <f>VLOOKUP(B38,Tabela_2[],2,FALSE)</f>
        <v>45750</v>
      </c>
      <c r="D38" s="9" t="str">
        <f t="shared" si="1"/>
        <v>Sim</v>
      </c>
      <c r="E38" s="9">
        <f>COUNTIF(Form_Responses1[[#ALL],[Cidade]],B38)</f>
        <v>3</v>
      </c>
      <c r="F38" s="9">
        <f>COUNTIFS('Respostas ao formulário 1'!$N$2:$N$2009,$F$1,'Respostas ao formulário 1'!$M$2:$M$2009,$B38)</f>
        <v>0</v>
      </c>
      <c r="G38" s="9">
        <f>COUNTIFS('Respostas ao formulário 1'!$N$2:$N$2009,Tabela_3[[#HEADERS],[Gestão municipal]],'Respostas ao formulário 1'!$M$2:$M$2009,$B38)</f>
        <v>3</v>
      </c>
    </row>
  </sheetData>
  <conditionalFormatting sqref="E2:G38">
    <cfRule type="cellIs" dxfId="7" priority="1" operator="equal">
      <formula>0</formula>
    </cfRule>
  </conditionalFormatting>
  <conditionalFormatting sqref="D1:D1001">
    <cfRule type="cellIs" dxfId="8" priority="2" operator="equal">
      <formula>"Sim"</formula>
    </cfRule>
  </conditionalFormatting>
  <conditionalFormatting sqref="D1:D1001">
    <cfRule type="cellIs" dxfId="9" priority="3" operator="equal">
      <formula>"Não"</formula>
    </cfRule>
  </conditionalFormatting>
  <dataValidations>
    <dataValidation type="custom" allowBlank="1" showDropDown="1" sqref="C2:C38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2" t="s">
        <v>2</v>
      </c>
      <c r="B1" s="2" t="s">
        <v>5</v>
      </c>
    </row>
    <row r="2" ht="22.5" customHeight="1">
      <c r="A2" s="5" t="s">
        <v>8</v>
      </c>
      <c r="B2" s="8">
        <v>45749.0</v>
      </c>
    </row>
    <row r="3" ht="22.5" customHeight="1">
      <c r="A3" s="5" t="s">
        <v>20</v>
      </c>
      <c r="B3" s="8">
        <v>45749.0</v>
      </c>
    </row>
    <row r="4" ht="22.5" customHeight="1">
      <c r="A4" s="5" t="s">
        <v>24</v>
      </c>
      <c r="B4" s="8">
        <v>45749.0</v>
      </c>
    </row>
    <row r="5" ht="22.5" customHeight="1">
      <c r="A5" s="5" t="s">
        <v>25</v>
      </c>
      <c r="B5" s="8">
        <v>45749.0</v>
      </c>
    </row>
    <row r="6" ht="22.5" customHeight="1">
      <c r="A6" s="5" t="s">
        <v>28</v>
      </c>
      <c r="B6" s="8">
        <v>45749.0</v>
      </c>
    </row>
    <row r="7" ht="22.5" customHeight="1">
      <c r="A7" s="5" t="s">
        <v>32</v>
      </c>
      <c r="B7" s="8">
        <v>45749.0</v>
      </c>
    </row>
    <row r="8" ht="22.5" customHeight="1">
      <c r="A8" s="5" t="s">
        <v>35</v>
      </c>
      <c r="B8" s="8">
        <v>45749.0</v>
      </c>
    </row>
    <row r="9" ht="22.5" customHeight="1">
      <c r="A9" s="5" t="s">
        <v>38</v>
      </c>
      <c r="B9" s="8">
        <v>45750.0</v>
      </c>
    </row>
    <row r="10" ht="22.5" customHeight="1">
      <c r="A10" s="5" t="s">
        <v>40</v>
      </c>
      <c r="B10" s="8">
        <v>45749.0</v>
      </c>
    </row>
    <row r="11" ht="22.5" customHeight="1">
      <c r="A11" s="5" t="s">
        <v>41</v>
      </c>
      <c r="B11" s="8">
        <v>45749.0</v>
      </c>
    </row>
    <row r="12" ht="22.5" customHeight="1">
      <c r="A12" s="5" t="s">
        <v>42</v>
      </c>
      <c r="B12" s="8">
        <v>45749.0</v>
      </c>
    </row>
    <row r="13" ht="22.5" customHeight="1">
      <c r="A13" s="5" t="s">
        <v>43</v>
      </c>
      <c r="B13" s="8">
        <v>45749.0</v>
      </c>
    </row>
    <row r="14" ht="22.5" customHeight="1">
      <c r="A14" s="5" t="s">
        <v>46</v>
      </c>
      <c r="B14" s="8">
        <v>45749.0</v>
      </c>
    </row>
    <row r="15" ht="22.5" customHeight="1">
      <c r="A15" s="5" t="s">
        <v>49</v>
      </c>
      <c r="B15" s="8">
        <v>45749.0</v>
      </c>
    </row>
    <row r="16" ht="22.5" customHeight="1">
      <c r="A16" s="5" t="s">
        <v>50</v>
      </c>
      <c r="B16" s="8">
        <v>45749.0</v>
      </c>
    </row>
    <row r="17" ht="22.5" customHeight="1">
      <c r="A17" s="5" t="s">
        <v>52</v>
      </c>
      <c r="B17" s="8">
        <v>45749.0</v>
      </c>
    </row>
    <row r="18" ht="22.5" customHeight="1">
      <c r="A18" s="5" t="s">
        <v>55</v>
      </c>
      <c r="B18" s="8">
        <v>45749.0</v>
      </c>
    </row>
    <row r="19" ht="22.5" customHeight="1">
      <c r="A19" s="5" t="s">
        <v>59</v>
      </c>
      <c r="B19" s="8">
        <v>45749.0</v>
      </c>
    </row>
    <row r="20" ht="22.5" customHeight="1">
      <c r="A20" s="5" t="s">
        <v>63</v>
      </c>
      <c r="B20" s="8">
        <v>45749.0</v>
      </c>
    </row>
    <row r="21" ht="22.5" customHeight="1">
      <c r="A21" s="5" t="s">
        <v>65</v>
      </c>
      <c r="B21" s="8">
        <v>45750.0</v>
      </c>
    </row>
    <row r="22" ht="22.5" customHeight="1">
      <c r="A22" s="5" t="s">
        <v>68</v>
      </c>
      <c r="B22" s="8">
        <v>45750.0</v>
      </c>
    </row>
    <row r="23" ht="22.5" customHeight="1">
      <c r="A23" s="5" t="s">
        <v>72</v>
      </c>
      <c r="B23" s="8">
        <v>45750.0</v>
      </c>
    </row>
    <row r="24" ht="22.5" customHeight="1">
      <c r="A24" s="5" t="s">
        <v>74</v>
      </c>
      <c r="B24" s="8">
        <v>45750.0</v>
      </c>
    </row>
    <row r="25" ht="22.5" customHeight="1">
      <c r="A25" s="5" t="s">
        <v>70</v>
      </c>
      <c r="B25" s="8">
        <v>45750.0</v>
      </c>
    </row>
    <row r="26" ht="22.5" customHeight="1">
      <c r="A26" s="5" t="s">
        <v>79</v>
      </c>
      <c r="B26" s="8">
        <v>45750.0</v>
      </c>
    </row>
    <row r="27" ht="22.5" customHeight="1">
      <c r="A27" s="5" t="s">
        <v>83</v>
      </c>
      <c r="B27" s="8">
        <v>45750.0</v>
      </c>
    </row>
    <row r="28" ht="22.5" customHeight="1">
      <c r="A28" s="5" t="s">
        <v>88</v>
      </c>
      <c r="B28" s="8">
        <v>45750.0</v>
      </c>
    </row>
    <row r="29" ht="22.5" customHeight="1">
      <c r="A29" s="5" t="s">
        <v>93</v>
      </c>
      <c r="B29" s="8">
        <v>45750.0</v>
      </c>
    </row>
    <row r="30" ht="22.5" customHeight="1">
      <c r="A30" s="5" t="s">
        <v>96</v>
      </c>
      <c r="B30" s="8">
        <v>45750.0</v>
      </c>
    </row>
    <row r="31" ht="22.5" customHeight="1">
      <c r="A31" s="5" t="s">
        <v>37</v>
      </c>
      <c r="B31" s="8">
        <v>45750.0</v>
      </c>
    </row>
    <row r="32" ht="22.5" customHeight="1">
      <c r="A32" s="5" t="s">
        <v>100</v>
      </c>
      <c r="B32" s="8">
        <v>45750.0</v>
      </c>
    </row>
    <row r="33" ht="22.5" customHeight="1">
      <c r="A33" s="5" t="s">
        <v>102</v>
      </c>
      <c r="B33" s="8">
        <v>45750.0</v>
      </c>
    </row>
    <row r="34" ht="22.5" customHeight="1">
      <c r="A34" s="5" t="s">
        <v>104</v>
      </c>
      <c r="B34" s="8">
        <v>45750.0</v>
      </c>
    </row>
    <row r="35" ht="22.5" customHeight="1">
      <c r="A35" s="5" t="s">
        <v>105</v>
      </c>
      <c r="B35" s="8">
        <v>45750.0</v>
      </c>
    </row>
    <row r="36" ht="22.5" customHeight="1">
      <c r="A36" s="5" t="s">
        <v>108</v>
      </c>
      <c r="B36" s="8">
        <v>45750.0</v>
      </c>
    </row>
    <row r="37" ht="22.5" customHeight="1">
      <c r="A37" s="5" t="s">
        <v>112</v>
      </c>
      <c r="B37" s="8">
        <v>45750.0</v>
      </c>
    </row>
    <row r="38" ht="22.5" customHeight="1">
      <c r="A38" s="5" t="s">
        <v>115</v>
      </c>
      <c r="B38" s="8">
        <v>45749.0</v>
      </c>
    </row>
  </sheetData>
  <dataValidations>
    <dataValidation type="custom" allowBlank="1" showDropDown="1" sqref="B2:B38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28.25"/>
    <col customWidth="1" min="4" max="4" width="18.88"/>
    <col customWidth="1" min="5" max="5" width="8.5"/>
    <col customWidth="1" min="6" max="6" width="12.88"/>
    <col customWidth="1" min="7" max="7" width="15.88"/>
    <col customWidth="1" min="8" max="8" width="18.38"/>
    <col customWidth="1" min="9" max="9" width="18.88"/>
    <col customWidth="1" min="10" max="10" width="37.25"/>
    <col customWidth="1" min="11" max="11" width="37.63"/>
    <col customWidth="1" min="12" max="12" width="35.63"/>
    <col customWidth="1" min="13" max="17" width="18.88"/>
  </cols>
  <sheetData>
    <row r="1" ht="22.5" customHeight="1">
      <c r="A1" s="2" t="s">
        <v>0</v>
      </c>
      <c r="B1" s="2" t="s">
        <v>4</v>
      </c>
      <c r="C1" s="3" t="s">
        <v>6</v>
      </c>
      <c r="D1" s="3" t="s">
        <v>9</v>
      </c>
      <c r="E1" s="2" t="s">
        <v>10</v>
      </c>
      <c r="F1" s="3" t="s">
        <v>12</v>
      </c>
      <c r="G1" s="7" t="s">
        <v>194</v>
      </c>
      <c r="H1" s="3" t="s">
        <v>16</v>
      </c>
      <c r="I1" s="3" t="s">
        <v>17</v>
      </c>
      <c r="J1" s="3" t="s">
        <v>18</v>
      </c>
      <c r="K1" s="2" t="s">
        <v>19</v>
      </c>
      <c r="L1" s="3" t="s">
        <v>21</v>
      </c>
      <c r="M1" s="10" t="s">
        <v>2</v>
      </c>
      <c r="N1" s="10" t="s">
        <v>23</v>
      </c>
    </row>
    <row r="2" ht="22.5" customHeight="1">
      <c r="A2" s="11">
        <v>45749.59889270834</v>
      </c>
      <c r="B2" s="12" t="s">
        <v>26</v>
      </c>
      <c r="C2" s="12" t="s">
        <v>27</v>
      </c>
      <c r="D2" s="12" t="s">
        <v>29</v>
      </c>
      <c r="E2" s="12" t="s">
        <v>30</v>
      </c>
      <c r="M2" s="16" t="str">
        <f>IF(E2="Não",H2,VLOOKUP(D2,'Inscrições'!D:G,4,FALSE))</f>
        <v>Dourados</v>
      </c>
      <c r="N2" s="5" t="str">
        <f>IF(E2="Sim",VLOOKUP(D2,'Inscrições'!D:H,5,FALSE),I2)</f>
        <v>CACS-FUNDEB</v>
      </c>
      <c r="P2" s="17" t="str">
        <f>VLOOKUP(D2,'Inscrições'!D:H,5,FALSE)</f>
        <v>CACS-FUNDEB</v>
      </c>
    </row>
    <row r="3" ht="22.5" hidden="1" customHeight="1">
      <c r="A3" s="11">
        <v>45750.39922327547</v>
      </c>
      <c r="B3" s="12" t="s">
        <v>58</v>
      </c>
      <c r="C3" s="12" t="s">
        <v>60</v>
      </c>
      <c r="D3" s="12" t="s">
        <v>62</v>
      </c>
      <c r="E3" s="12" t="s">
        <v>30</v>
      </c>
      <c r="M3" s="16" t="str">
        <f>IF(E3="Não",H3,VLOOKUP(D3,'Inscrições'!D:G,4,FALSE))</f>
        <v>Japorã</v>
      </c>
      <c r="N3" s="5" t="str">
        <f>IF(E3="Sim",VLOOKUP(D3,'Inscrições'!D:H,5,FALSE),I3)</f>
        <v>Gestão municipal</v>
      </c>
    </row>
    <row r="4" ht="22.5" customHeight="1">
      <c r="A4" s="18">
        <v>45749.40560513889</v>
      </c>
      <c r="B4" s="19" t="s">
        <v>82</v>
      </c>
      <c r="C4" s="19" t="s">
        <v>84</v>
      </c>
      <c r="D4" s="19" t="s">
        <v>86</v>
      </c>
      <c r="E4" s="19" t="s">
        <v>90</v>
      </c>
      <c r="F4" s="20">
        <v>30697.0</v>
      </c>
      <c r="G4" s="19" t="s">
        <v>92</v>
      </c>
      <c r="H4" s="19" t="s">
        <v>35</v>
      </c>
      <c r="I4" s="12" t="s">
        <v>14</v>
      </c>
      <c r="J4" s="19" t="s">
        <v>95</v>
      </c>
      <c r="K4" s="5"/>
      <c r="L4" s="5"/>
      <c r="M4" s="5" t="str">
        <f>IF(E4="Não",H4,VLOOKUP(D4,'Inscrições'!D:G,4,FALSE))</f>
        <v>Caarapó</v>
      </c>
      <c r="N4" s="5" t="str">
        <f>IF(E4="Sim",VLOOKUP(D4,'Inscrições'!D:H,5,FALSE),I4)</f>
        <v>Gestão municipal</v>
      </c>
    </row>
    <row r="5" ht="22.5" hidden="1" customHeight="1">
      <c r="A5" s="18">
        <v>45749.40577738426</v>
      </c>
      <c r="B5" s="19" t="s">
        <v>106</v>
      </c>
      <c r="C5" s="19" t="s">
        <v>107</v>
      </c>
      <c r="D5" s="19" t="s">
        <v>109</v>
      </c>
      <c r="E5" s="19" t="s">
        <v>30</v>
      </c>
      <c r="F5" s="5"/>
      <c r="G5" s="5"/>
      <c r="H5" s="5"/>
      <c r="I5" s="5"/>
      <c r="J5" s="5"/>
      <c r="K5" s="5"/>
      <c r="L5" s="5"/>
      <c r="M5" s="5" t="str">
        <f>IF(E5="Não",H5,VLOOKUP(D5,'Inscrições'!D:G,4,FALSE))</f>
        <v>Angélica</v>
      </c>
      <c r="N5" s="5" t="str">
        <f>IF(E5="Sim",VLOOKUP(D5,'Inscrições'!D:H,5,FALSE),I5)</f>
        <v>Gestão municipal</v>
      </c>
    </row>
    <row r="6" ht="22.5" customHeight="1">
      <c r="A6" s="11">
        <v>45750.40553120371</v>
      </c>
      <c r="B6" s="12" t="s">
        <v>120</v>
      </c>
      <c r="C6" s="12" t="s">
        <v>122</v>
      </c>
      <c r="D6" s="12" t="s">
        <v>123</v>
      </c>
      <c r="E6" s="12" t="s">
        <v>30</v>
      </c>
      <c r="M6" s="16" t="str">
        <f>IF(E6="Não",H6,VLOOKUP(D6,'Inscrições'!D:G,4,FALSE))</f>
        <v>Rio Brilhante</v>
      </c>
      <c r="N6" s="5" t="str">
        <f>IF(E6="Sim",VLOOKUP(D6,'Inscrições'!D:H,5,FALSE),I6)</f>
        <v>CACS-FUNDEB</v>
      </c>
    </row>
    <row r="7" ht="22.5" hidden="1" customHeight="1">
      <c r="A7" s="11">
        <v>45750.40722680556</v>
      </c>
      <c r="B7" s="12" t="s">
        <v>134</v>
      </c>
      <c r="C7" s="12" t="s">
        <v>135</v>
      </c>
      <c r="D7" s="12" t="s">
        <v>137</v>
      </c>
      <c r="E7" s="12" t="s">
        <v>30</v>
      </c>
      <c r="M7" s="16" t="str">
        <f>IF(E7="Não",H7,VLOOKUP(D7,'Inscrições'!D:G,4,FALSE))</f>
        <v>Nova Alvorada do Sul</v>
      </c>
      <c r="N7" s="5" t="str">
        <f>IF(E7="Sim",VLOOKUP(D7,'Inscrições'!D:H,5,FALSE),I7)</f>
        <v>Gestão municipal</v>
      </c>
    </row>
    <row r="8" ht="22.5" customHeight="1">
      <c r="A8" s="11">
        <v>45750.40982526621</v>
      </c>
      <c r="B8" s="12" t="s">
        <v>147</v>
      </c>
      <c r="C8" s="12" t="s">
        <v>148</v>
      </c>
      <c r="D8" s="12" t="s">
        <v>149</v>
      </c>
      <c r="E8" s="12" t="s">
        <v>90</v>
      </c>
      <c r="F8" s="21">
        <v>31509.0</v>
      </c>
      <c r="G8" s="12" t="s">
        <v>153</v>
      </c>
      <c r="H8" s="12" t="s">
        <v>88</v>
      </c>
      <c r="I8" s="12" t="s">
        <v>13</v>
      </c>
      <c r="L8" s="12" t="s">
        <v>156</v>
      </c>
      <c r="M8" s="16" t="str">
        <f>IF(E8="Não",H8,VLOOKUP(D8,'Inscrições'!D:G,4,FALSE))</f>
        <v>Nova Alvorada do Sul</v>
      </c>
      <c r="N8" s="5" t="str">
        <f>IF(E8="Sim",VLOOKUP(D8,'Inscrições'!D:H,5,FALSE),I8)</f>
        <v>CACS-FUNDEB</v>
      </c>
    </row>
    <row r="9" ht="22.5" hidden="1" customHeight="1">
      <c r="A9" s="11">
        <v>45749.47129664352</v>
      </c>
      <c r="B9" s="12" t="s">
        <v>163</v>
      </c>
      <c r="C9" s="12" t="s">
        <v>166</v>
      </c>
      <c r="D9" s="12" t="s">
        <v>165</v>
      </c>
      <c r="E9" s="12" t="s">
        <v>30</v>
      </c>
      <c r="M9" s="5" t="str">
        <f>IF(E9="Não",H9,VLOOKUP(D9,'Inscrições'!D:G,4,FALSE))</f>
        <v>Batayporã</v>
      </c>
      <c r="N9" s="5" t="str">
        <f>IF(E9="Sim",VLOOKUP(D9,'Inscrições'!D:H,5,FALSE),I9)</f>
        <v>Gestão municipal</v>
      </c>
    </row>
    <row r="10" ht="22.5" customHeight="1">
      <c r="A10" s="11">
        <v>45749.4225037037</v>
      </c>
      <c r="B10" s="12" t="s">
        <v>174</v>
      </c>
      <c r="C10" s="12" t="s">
        <v>175</v>
      </c>
      <c r="D10" s="12" t="s">
        <v>176</v>
      </c>
      <c r="E10" s="12" t="s">
        <v>90</v>
      </c>
      <c r="F10" s="21">
        <v>31200.0</v>
      </c>
      <c r="G10" s="12" t="s">
        <v>178</v>
      </c>
      <c r="H10" s="12" t="s">
        <v>115</v>
      </c>
      <c r="I10" s="12" t="s">
        <v>14</v>
      </c>
      <c r="J10" s="12" t="s">
        <v>181</v>
      </c>
      <c r="M10" s="5" t="str">
        <f>IF(E10="Não",H10,VLOOKUP(D10,'Inscrições'!D:G,4,FALSE))</f>
        <v>Paraíso das Águas</v>
      </c>
      <c r="N10" s="5" t="str">
        <f>IF(E10="Sim",VLOOKUP(D10,'Inscrições'!D:H,5,FALSE),I10)</f>
        <v>Gestão municipal</v>
      </c>
    </row>
    <row r="11" ht="22.5" customHeight="1">
      <c r="A11" s="11">
        <v>45750.40101212963</v>
      </c>
      <c r="B11" s="12" t="s">
        <v>187</v>
      </c>
      <c r="C11" s="12" t="s">
        <v>189</v>
      </c>
      <c r="D11" s="12" t="s">
        <v>191</v>
      </c>
      <c r="E11" s="12" t="s">
        <v>30</v>
      </c>
      <c r="M11" s="16" t="str">
        <f>IF(E11="Não",H11,VLOOKUP(D11,'Inscrições'!D:G,4,FALSE))</f>
        <v>Taquarussu</v>
      </c>
      <c r="N11" s="5" t="str">
        <f>IF(E11="Sim",VLOOKUP(D11,'Inscrições'!D:H,5,FALSE),I11)</f>
        <v>Gestão municipal</v>
      </c>
    </row>
    <row r="12" ht="22.5" customHeight="1">
      <c r="A12" s="11">
        <v>45749.469155</v>
      </c>
      <c r="B12" s="12" t="s">
        <v>195</v>
      </c>
      <c r="C12" s="12" t="s">
        <v>196</v>
      </c>
      <c r="D12" s="12" t="s">
        <v>198</v>
      </c>
      <c r="E12" s="12" t="s">
        <v>30</v>
      </c>
      <c r="M12" s="5" t="str">
        <f>IF(E12="Não",H12,VLOOKUP(D12,'Inscrições'!D:G,4,FALSE))</f>
        <v>Batayporã</v>
      </c>
      <c r="N12" s="5" t="str">
        <f>IF(E12="Sim",VLOOKUP(D12,'Inscrições'!D:H,5,FALSE),I12)</f>
        <v>CACS-FUNDEB</v>
      </c>
    </row>
    <row r="13" ht="22.5" customHeight="1">
      <c r="A13" s="18">
        <v>45749.40564341436</v>
      </c>
      <c r="B13" s="19" t="s">
        <v>204</v>
      </c>
      <c r="C13" s="19" t="s">
        <v>206</v>
      </c>
      <c r="D13" s="19" t="s">
        <v>207</v>
      </c>
      <c r="E13" s="19" t="s">
        <v>30</v>
      </c>
      <c r="F13" s="5"/>
      <c r="G13" s="5"/>
      <c r="H13" s="5"/>
      <c r="I13" s="5"/>
      <c r="J13" s="5"/>
      <c r="K13" s="5"/>
      <c r="L13" s="5"/>
      <c r="M13" s="5" t="str">
        <f>IF(E13="Não",H13,VLOOKUP(D13,'Inscrições'!D:G,4,FALSE))</f>
        <v>Angélica</v>
      </c>
      <c r="N13" s="5" t="str">
        <f>IF(E13="Sim",VLOOKUP(D13,'Inscrições'!D:H,5,FALSE),I13)</f>
        <v>Gestão municipal</v>
      </c>
    </row>
    <row r="14" ht="22.5" customHeight="1">
      <c r="A14" s="18">
        <v>45749.40935178241</v>
      </c>
      <c r="B14" s="19" t="s">
        <v>215</v>
      </c>
      <c r="C14" s="19" t="s">
        <v>217</v>
      </c>
      <c r="D14" s="19" t="s">
        <v>218</v>
      </c>
      <c r="E14" s="19" t="s">
        <v>90</v>
      </c>
      <c r="F14" s="22">
        <v>31610.0</v>
      </c>
      <c r="G14" s="19" t="s">
        <v>219</v>
      </c>
      <c r="H14" s="19" t="s">
        <v>42</v>
      </c>
      <c r="I14" s="19" t="s">
        <v>14</v>
      </c>
      <c r="J14" s="19" t="s">
        <v>223</v>
      </c>
      <c r="K14" s="5"/>
      <c r="L14" s="5"/>
      <c r="M14" s="5" t="str">
        <f>IF(E14="Não",H14,VLOOKUP(D14,'Inscrições'!D:G,4,FALSE))</f>
        <v>Douradina</v>
      </c>
      <c r="N14" s="5" t="str">
        <f>IF(E14="Sim",VLOOKUP(D14,'Inscrições'!D:H,5,FALSE),I14)</f>
        <v>Gestão municipal</v>
      </c>
    </row>
    <row r="15" ht="22.5" customHeight="1">
      <c r="A15" s="11">
        <v>45749.46376237269</v>
      </c>
      <c r="B15" s="12" t="s">
        <v>215</v>
      </c>
      <c r="C15" s="12" t="s">
        <v>217</v>
      </c>
      <c r="D15" s="12" t="s">
        <v>218</v>
      </c>
      <c r="E15" s="19" t="s">
        <v>90</v>
      </c>
      <c r="F15" s="23">
        <v>31610.0</v>
      </c>
      <c r="G15" s="12" t="s">
        <v>231</v>
      </c>
      <c r="H15" s="12" t="s">
        <v>42</v>
      </c>
      <c r="I15" s="12" t="s">
        <v>14</v>
      </c>
      <c r="J15" s="12" t="s">
        <v>235</v>
      </c>
      <c r="M15" s="5" t="str">
        <f>IF(E15="Não",H15,VLOOKUP(D15,'Inscrições'!D:G,4,FALSE))</f>
        <v>Douradina</v>
      </c>
      <c r="N15" s="5" t="str">
        <f>IF(E15="Sim",VLOOKUP(D15,'Inscrições'!D:H,5,FALSE),I15)</f>
        <v>Gestão municipal</v>
      </c>
    </row>
    <row r="16" ht="22.5" customHeight="1">
      <c r="A16" s="11">
        <v>45750.395281550926</v>
      </c>
      <c r="B16" s="12" t="s">
        <v>53</v>
      </c>
      <c r="C16" s="12" t="s">
        <v>54</v>
      </c>
      <c r="D16" s="12" t="s">
        <v>56</v>
      </c>
      <c r="E16" s="12" t="s">
        <v>30</v>
      </c>
      <c r="M16" s="16" t="str">
        <f>IF(E16="Não",H16,VLOOKUP(D16,'Inscrições'!D:G,4,FALSE))</f>
        <v>Paranhos</v>
      </c>
      <c r="N16" s="5" t="str">
        <f>IF(E16="Sim",VLOOKUP(D16,'Inscrições'!D:H,5,FALSE),I16)</f>
        <v>Gestão municipal</v>
      </c>
    </row>
    <row r="17" ht="22.5" customHeight="1">
      <c r="A17" s="11">
        <v>45749.43960841435</v>
      </c>
      <c r="B17" s="12" t="s">
        <v>117</v>
      </c>
      <c r="C17" s="12" t="s">
        <v>247</v>
      </c>
      <c r="D17" s="12" t="s">
        <v>119</v>
      </c>
      <c r="E17" s="12" t="s">
        <v>30</v>
      </c>
      <c r="M17" s="5" t="str">
        <f>IF(E17="Não",H17,VLOOKUP(D17,'Inscrições'!D:G,4,FALSE))</f>
        <v>Ivinhema</v>
      </c>
      <c r="N17" s="5" t="str">
        <f>IF(E17="Sim",VLOOKUP(D17,'Inscrições'!D:H,5,FALSE),I17)</f>
        <v>Gestão municipal</v>
      </c>
    </row>
    <row r="18" ht="22.5" customHeight="1">
      <c r="A18" s="11">
        <v>45749.424423344906</v>
      </c>
      <c r="B18" s="12" t="s">
        <v>250</v>
      </c>
      <c r="C18" s="12" t="s">
        <v>251</v>
      </c>
      <c r="D18" s="12" t="s">
        <v>252</v>
      </c>
      <c r="E18" s="12" t="s">
        <v>90</v>
      </c>
      <c r="F18" s="21">
        <v>31512.0</v>
      </c>
      <c r="G18" s="12" t="s">
        <v>253</v>
      </c>
      <c r="H18" s="12" t="s">
        <v>115</v>
      </c>
      <c r="I18" s="12" t="s">
        <v>14</v>
      </c>
      <c r="J18" s="12" t="s">
        <v>254</v>
      </c>
      <c r="M18" s="5" t="str">
        <f>IF(E18="Não",H18,VLOOKUP(D18,'Inscrições'!D:G,4,FALSE))</f>
        <v>Paraíso das Águas</v>
      </c>
      <c r="N18" s="5" t="str">
        <f>IF(E18="Sim",VLOOKUP(D18,'Inscrições'!D:H,5,FALSE),I18)</f>
        <v>Gestão municipal</v>
      </c>
    </row>
    <row r="19" ht="22.5" hidden="1" customHeight="1">
      <c r="A19" s="11">
        <v>45749.49830543982</v>
      </c>
      <c r="B19" s="12" t="s">
        <v>255</v>
      </c>
      <c r="C19" s="12" t="s">
        <v>256</v>
      </c>
      <c r="D19" s="12" t="s">
        <v>257</v>
      </c>
      <c r="E19" s="12" t="s">
        <v>90</v>
      </c>
      <c r="F19" s="24">
        <v>32475.0</v>
      </c>
      <c r="G19" s="12" t="s">
        <v>258</v>
      </c>
      <c r="H19" s="12" t="s">
        <v>28</v>
      </c>
      <c r="I19" s="12" t="s">
        <v>14</v>
      </c>
      <c r="J19" s="12" t="s">
        <v>259</v>
      </c>
      <c r="M19" s="5" t="str">
        <f>IF(E19="Não",H19,VLOOKUP(D19,'Inscrições'!D:G,4,FALSE))</f>
        <v>Bataguassu</v>
      </c>
      <c r="N19" s="5" t="str">
        <f>IF(E19="Sim",VLOOKUP(D19,'Inscrições'!D:H,5,FALSE),I19)</f>
        <v>Gestão municipal</v>
      </c>
    </row>
    <row r="20" ht="22.5" customHeight="1">
      <c r="A20" s="18">
        <v>45749.399093506945</v>
      </c>
      <c r="B20" s="19" t="s">
        <v>260</v>
      </c>
      <c r="C20" s="19" t="s">
        <v>261</v>
      </c>
      <c r="D20" s="19" t="s">
        <v>262</v>
      </c>
      <c r="E20" s="19" t="s">
        <v>30</v>
      </c>
      <c r="F20" s="5"/>
      <c r="G20" s="5"/>
      <c r="H20" s="5"/>
      <c r="I20" s="5"/>
      <c r="J20" s="5"/>
      <c r="K20" s="5"/>
      <c r="L20" s="5"/>
      <c r="M20" s="5" t="str">
        <f>IF(E20="Não",H20,VLOOKUP(D20,'Inscrições'!D:G,4,FALSE))</f>
        <v>Coronel Sapucaia</v>
      </c>
      <c r="N20" s="5" t="str">
        <f>IF(E20="Sim",VLOOKUP(D20,'Inscrições'!D:H,5,FALSE),I20)</f>
        <v>CACS-FUNDEB</v>
      </c>
    </row>
    <row r="21" ht="22.5" hidden="1" customHeight="1">
      <c r="A21" s="18">
        <v>45749.404808796295</v>
      </c>
      <c r="B21" s="19" t="s">
        <v>158</v>
      </c>
      <c r="C21" s="19" t="s">
        <v>263</v>
      </c>
      <c r="D21" s="19" t="s">
        <v>160</v>
      </c>
      <c r="E21" s="19" t="s">
        <v>30</v>
      </c>
      <c r="F21" s="5"/>
      <c r="G21" s="5"/>
      <c r="H21" s="5"/>
      <c r="I21" s="5"/>
      <c r="J21" s="5"/>
      <c r="K21" s="5"/>
      <c r="L21" s="5"/>
      <c r="M21" s="5" t="str">
        <f>IF(E21="Não",H21,VLOOKUP(D21,'Inscrições'!D:G,4,FALSE))</f>
        <v>Caarapó</v>
      </c>
      <c r="N21" s="5" t="str">
        <f>IF(E21="Sim",VLOOKUP(D21,'Inscrições'!D:H,5,FALSE),I21)</f>
        <v>Gestão municipal</v>
      </c>
    </row>
    <row r="22" ht="22.5" customHeight="1">
      <c r="A22" s="11">
        <v>45750.53701060185</v>
      </c>
      <c r="B22" s="12" t="s">
        <v>264</v>
      </c>
      <c r="C22" s="12" t="s">
        <v>265</v>
      </c>
      <c r="D22" s="12" t="s">
        <v>266</v>
      </c>
      <c r="E22" s="12" t="s">
        <v>30</v>
      </c>
      <c r="M22" s="16" t="str">
        <f>IF(E22="Não",H22,VLOOKUP(D22,'Inscrições'!D:G,4,FALSE))</f>
        <v>#N/A</v>
      </c>
      <c r="N22" s="16" t="str">
        <f>IF(E22="Sim",VLOOKUP(D22,'Inscrições'!D:H,5,FALSE),I22)</f>
        <v>#N/A</v>
      </c>
    </row>
    <row r="23" ht="22.5" customHeight="1">
      <c r="A23" s="11">
        <v>45750.404945277776</v>
      </c>
      <c r="B23" s="12" t="s">
        <v>267</v>
      </c>
      <c r="C23" s="12" t="s">
        <v>268</v>
      </c>
      <c r="D23" s="12" t="s">
        <v>269</v>
      </c>
      <c r="E23" s="12" t="s">
        <v>30</v>
      </c>
      <c r="M23" s="16" t="str">
        <f>IF(E23="Não",H23,VLOOKUP(D23,'Inscrições'!D:G,4,FALSE))</f>
        <v>Rio Brilhante</v>
      </c>
      <c r="N23" s="5" t="str">
        <f>IF(E23="Sim",VLOOKUP(D23,'Inscrições'!D:H,5,FALSE),I23)</f>
        <v>Gestão municipal</v>
      </c>
    </row>
    <row r="24" ht="22.5" customHeight="1">
      <c r="A24" s="11">
        <v>45749.8611965625</v>
      </c>
      <c r="B24" s="12" t="s">
        <v>275</v>
      </c>
      <c r="C24" s="12" t="s">
        <v>277</v>
      </c>
      <c r="D24" s="12" t="s">
        <v>279</v>
      </c>
      <c r="E24" s="12" t="s">
        <v>30</v>
      </c>
      <c r="M24" s="16" t="str">
        <f>IF(E24="Não",H24,VLOOKUP(D24,'Inscrições'!D:G,4,FALSE))</f>
        <v>Eldorado</v>
      </c>
      <c r="N24" s="5" t="str">
        <f>IF(E24="Sim",VLOOKUP(D24,'Inscrições'!D:H,5,FALSE),I24)</f>
        <v>CACS-FUNDEB</v>
      </c>
    </row>
    <row r="25" ht="22.5" customHeight="1">
      <c r="A25" s="11">
        <v>45750.46222501158</v>
      </c>
      <c r="B25" s="12" t="s">
        <v>284</v>
      </c>
      <c r="C25" s="12" t="s">
        <v>285</v>
      </c>
      <c r="D25" s="12" t="s">
        <v>287</v>
      </c>
      <c r="E25" s="12" t="s">
        <v>30</v>
      </c>
      <c r="M25" s="16" t="str">
        <f>IF(E25="Não",H25,VLOOKUP(D25,'Inscrições'!D:G,4,FALSE))</f>
        <v>Taquarussu</v>
      </c>
      <c r="N25" s="16" t="str">
        <f>IF(E25="Sim",VLOOKUP(D25,'Inscrições'!D:H,5,FALSE),I25)</f>
        <v>Gestão municipal</v>
      </c>
    </row>
    <row r="26" ht="22.5" hidden="1" customHeight="1">
      <c r="A26" s="11">
        <v>45749.49912944445</v>
      </c>
      <c r="B26" s="12" t="s">
        <v>291</v>
      </c>
      <c r="C26" s="12" t="s">
        <v>292</v>
      </c>
      <c r="D26" s="12" t="s">
        <v>294</v>
      </c>
      <c r="E26" s="12" t="s">
        <v>30</v>
      </c>
      <c r="M26" s="5" t="str">
        <f>IF(E26="Não",H26,VLOOKUP(D26,'Inscrições'!D:G,4,FALSE))</f>
        <v>Iguatemi</v>
      </c>
      <c r="N26" s="5" t="str">
        <f>IF(E26="Sim",VLOOKUP(D26,'Inscrições'!D:H,5,FALSE),I26)</f>
        <v>Gestão municipal</v>
      </c>
    </row>
    <row r="27" ht="22.5" hidden="1" customHeight="1">
      <c r="A27" s="11">
        <v>45750.41317137731</v>
      </c>
      <c r="B27" s="12" t="s">
        <v>302</v>
      </c>
      <c r="C27" s="12" t="s">
        <v>303</v>
      </c>
      <c r="D27" s="12" t="s">
        <v>304</v>
      </c>
      <c r="E27" s="12" t="s">
        <v>30</v>
      </c>
      <c r="M27" s="16" t="str">
        <f>IF(E27="Não",H27,VLOOKUP(D27,'Inscrições'!D:G,4,FALSE))</f>
        <v>Juti</v>
      </c>
      <c r="N27" s="5" t="str">
        <f>IF(E27="Sim",VLOOKUP(D27,'Inscrições'!D:H,5,FALSE),I27)</f>
        <v>Gestão municipal</v>
      </c>
    </row>
    <row r="28" ht="22.5" customHeight="1">
      <c r="A28" s="11">
        <v>45750.404574305554</v>
      </c>
      <c r="B28" s="12" t="s">
        <v>309</v>
      </c>
      <c r="C28" s="12" t="s">
        <v>310</v>
      </c>
      <c r="D28" s="12" t="s">
        <v>312</v>
      </c>
      <c r="E28" s="12" t="s">
        <v>30</v>
      </c>
      <c r="M28" s="16" t="str">
        <f>IF(E28="Não",H28,VLOOKUP(D28,'Inscrições'!D:G,4,FALSE))</f>
        <v>Rio Brilhante</v>
      </c>
      <c r="N28" s="5" t="str">
        <f>IF(E28="Sim",VLOOKUP(D28,'Inscrições'!D:H,5,FALSE),I28)</f>
        <v>CACS-FUNDEB</v>
      </c>
    </row>
    <row r="29" ht="22.5" customHeight="1">
      <c r="A29" s="11">
        <v>45750.543660358795</v>
      </c>
      <c r="B29" s="12" t="s">
        <v>316</v>
      </c>
      <c r="C29" s="12" t="s">
        <v>317</v>
      </c>
      <c r="D29" s="12" t="s">
        <v>318</v>
      </c>
      <c r="E29" s="12" t="s">
        <v>90</v>
      </c>
      <c r="F29" s="21">
        <v>34332.0</v>
      </c>
      <c r="G29" s="12" t="s">
        <v>319</v>
      </c>
      <c r="H29" s="12" t="s">
        <v>96</v>
      </c>
      <c r="I29" s="12" t="s">
        <v>13</v>
      </c>
      <c r="L29" s="12" t="s">
        <v>320</v>
      </c>
      <c r="M29" s="16" t="str">
        <f>IF(E29="Não",H29,VLOOKUP(D29,'Inscrições'!D:G,4,FALSE))</f>
        <v>Novo Horizonte do Sul</v>
      </c>
      <c r="N29" s="16" t="str">
        <f>IF(E29="Sim",VLOOKUP(D29,'Inscrições'!D:H,5,FALSE),I29)</f>
        <v>CACS-FUNDEB</v>
      </c>
    </row>
    <row r="30" ht="22.5" customHeight="1">
      <c r="A30" s="11">
        <v>45750.54256944444</v>
      </c>
      <c r="B30" s="12" t="s">
        <v>226</v>
      </c>
      <c r="C30" s="12" t="s">
        <v>326</v>
      </c>
      <c r="D30" s="12" t="s">
        <v>228</v>
      </c>
      <c r="E30" s="12" t="s">
        <v>30</v>
      </c>
      <c r="M30" s="16" t="str">
        <f>IF(E30="Não",H30,VLOOKUP(D30,'Inscrições'!D:G,4,FALSE))</f>
        <v>Novo Horizonte do Sul</v>
      </c>
      <c r="N30" s="16" t="str">
        <f>IF(E30="Sim",VLOOKUP(D30,'Inscrições'!D:H,5,FALSE),I30)</f>
        <v>Gestão municipal</v>
      </c>
    </row>
    <row r="31" ht="22.5" customHeight="1">
      <c r="A31" s="11">
        <v>45750.39520158565</v>
      </c>
      <c r="B31" s="12" t="s">
        <v>31</v>
      </c>
      <c r="C31" s="12" t="s">
        <v>33</v>
      </c>
      <c r="D31" s="12" t="s">
        <v>34</v>
      </c>
      <c r="E31" s="12" t="s">
        <v>30</v>
      </c>
      <c r="M31" s="16" t="str">
        <f>IF(E31="Não",H31,VLOOKUP(D31,'Inscrições'!D:G,4,FALSE))</f>
        <v>Paranhos</v>
      </c>
      <c r="N31" s="5" t="str">
        <f>IF(E31="Sim",VLOOKUP(D31,'Inscrições'!D:H,5,FALSE),I31)</f>
        <v>Gestão municipal</v>
      </c>
    </row>
    <row r="32" ht="22.5" customHeight="1">
      <c r="A32" s="11">
        <v>45749.496341562495</v>
      </c>
      <c r="B32" s="12" t="s">
        <v>336</v>
      </c>
      <c r="C32" s="12" t="s">
        <v>337</v>
      </c>
      <c r="D32" s="12" t="s">
        <v>338</v>
      </c>
      <c r="E32" s="12" t="s">
        <v>90</v>
      </c>
      <c r="F32" s="23">
        <v>34577.0</v>
      </c>
      <c r="G32" s="12" t="s">
        <v>342</v>
      </c>
      <c r="H32" s="12" t="s">
        <v>42</v>
      </c>
      <c r="I32" s="12" t="s">
        <v>14</v>
      </c>
      <c r="J32" s="12" t="s">
        <v>344</v>
      </c>
      <c r="M32" s="5" t="str">
        <f>IF(E32="Não",H32,VLOOKUP(D32,'Inscrições'!D:G,4,FALSE))</f>
        <v>Douradina</v>
      </c>
      <c r="N32" s="5" t="str">
        <f>IF(E32="Sim",VLOOKUP(D32,'Inscrições'!D:H,5,FALSE),I32)</f>
        <v>Gestão municipal</v>
      </c>
    </row>
    <row r="33" ht="22.5" customHeight="1">
      <c r="A33" s="11">
        <v>45750.39885478009</v>
      </c>
      <c r="B33" s="12" t="s">
        <v>351</v>
      </c>
      <c r="C33" s="12" t="s">
        <v>352</v>
      </c>
      <c r="D33" s="12" t="s">
        <v>67</v>
      </c>
      <c r="E33" s="12" t="s">
        <v>30</v>
      </c>
      <c r="M33" s="16" t="str">
        <f>IF(E33="Não",H33,VLOOKUP(D33,'Inscrições'!D:G,4,FALSE))</f>
        <v>Maracaju</v>
      </c>
      <c r="N33" s="5" t="str">
        <f>IF(E33="Sim",VLOOKUP(D33,'Inscrições'!D:H,5,FALSE),I33)</f>
        <v>Gestão municipal</v>
      </c>
    </row>
    <row r="34" ht="22.5" customHeight="1">
      <c r="A34" s="11">
        <v>45750.40475306713</v>
      </c>
      <c r="B34" s="12" t="s">
        <v>357</v>
      </c>
      <c r="C34" s="12" t="s">
        <v>359</v>
      </c>
      <c r="D34" s="12" t="s">
        <v>361</v>
      </c>
      <c r="E34" s="12" t="s">
        <v>30</v>
      </c>
      <c r="M34" s="16" t="str">
        <f>IF(E34="Não",H34,VLOOKUP(D34,'Inscrições'!D:G,4,FALSE))</f>
        <v>Rio Brilhante</v>
      </c>
      <c r="N34" s="5" t="str">
        <f>IF(E34="Sim",VLOOKUP(D34,'Inscrições'!D:H,5,FALSE),I34)</f>
        <v>Gestão municipal</v>
      </c>
    </row>
    <row r="35" ht="22.5" customHeight="1">
      <c r="A35" s="11">
        <v>45750.40736793981</v>
      </c>
      <c r="B35" s="12" t="s">
        <v>369</v>
      </c>
      <c r="C35" s="12" t="s">
        <v>313</v>
      </c>
      <c r="D35" s="12" t="s">
        <v>314</v>
      </c>
      <c r="E35" s="12" t="s">
        <v>30</v>
      </c>
      <c r="M35" s="16" t="str">
        <f>IF(E35="Não",H35,VLOOKUP(D35,'Inscrições'!D:G,4,FALSE))</f>
        <v>Laguna Carapã</v>
      </c>
      <c r="N35" s="5" t="str">
        <f>IF(E35="Sim",VLOOKUP(D35,'Inscrições'!D:H,5,FALSE),I35)</f>
        <v>CACS-FUNDEB</v>
      </c>
    </row>
    <row r="36" ht="22.5" customHeight="1">
      <c r="A36" s="18">
        <v>45749.40101101852</v>
      </c>
      <c r="B36" s="19" t="s">
        <v>377</v>
      </c>
      <c r="C36" s="19" t="s">
        <v>378</v>
      </c>
      <c r="D36" s="19" t="s">
        <v>379</v>
      </c>
      <c r="E36" s="19" t="s">
        <v>30</v>
      </c>
      <c r="F36" s="5"/>
      <c r="G36" s="5"/>
      <c r="H36" s="5"/>
      <c r="I36" s="5"/>
      <c r="J36" s="5"/>
      <c r="K36" s="5"/>
      <c r="L36" s="5"/>
      <c r="M36" s="5" t="str">
        <f>IF(E36="Não",H36,VLOOKUP(D36,'Inscrições'!D:G,4,FALSE))</f>
        <v>Dourados</v>
      </c>
      <c r="N36" s="5" t="str">
        <f>IF(E36="Sim",VLOOKUP(D36,'Inscrições'!D:H,5,FALSE),I36)</f>
        <v>Gestão municipal</v>
      </c>
    </row>
    <row r="37" ht="22.5" customHeight="1">
      <c r="A37" s="11">
        <v>45750.396606215276</v>
      </c>
      <c r="B37" s="12" t="s">
        <v>384</v>
      </c>
      <c r="C37" s="12" t="s">
        <v>386</v>
      </c>
      <c r="D37" s="12" t="s">
        <v>77</v>
      </c>
      <c r="E37" s="12" t="s">
        <v>30</v>
      </c>
      <c r="M37" s="16" t="str">
        <f>IF(E37="Não",H37,VLOOKUP(D37,'Inscrições'!D:G,4,FALSE))</f>
        <v>Maracaju</v>
      </c>
      <c r="N37" s="5" t="str">
        <f>IF(E37="Sim",VLOOKUP(D37,'Inscrições'!D:H,5,FALSE),I37)</f>
        <v>Gestão municipal</v>
      </c>
    </row>
    <row r="38" ht="22.5" customHeight="1">
      <c r="A38" s="11">
        <v>45749.50213146991</v>
      </c>
      <c r="B38" s="12" t="s">
        <v>339</v>
      </c>
      <c r="C38" s="12" t="s">
        <v>392</v>
      </c>
      <c r="D38" s="12" t="s">
        <v>341</v>
      </c>
      <c r="E38" s="12" t="s">
        <v>30</v>
      </c>
      <c r="M38" s="5" t="str">
        <f>IF(E38="Não",H38,VLOOKUP(D38,'Inscrições'!D:G,4,FALSE))</f>
        <v>Dourados</v>
      </c>
      <c r="N38" s="5" t="str">
        <f>IF(E38="Sim",VLOOKUP(D38,'Inscrições'!D:H,5,FALSE),I38)</f>
        <v>Gestão municipal</v>
      </c>
    </row>
    <row r="39" ht="22.5" customHeight="1">
      <c r="A39" s="11">
        <v>45750.397836793985</v>
      </c>
      <c r="B39" s="12" t="s">
        <v>398</v>
      </c>
      <c r="C39" s="12" t="s">
        <v>399</v>
      </c>
      <c r="D39" s="12" t="s">
        <v>401</v>
      </c>
      <c r="E39" s="12" t="s">
        <v>90</v>
      </c>
      <c r="F39" s="24">
        <v>31405.0</v>
      </c>
      <c r="G39" s="12" t="s">
        <v>402</v>
      </c>
      <c r="H39" s="12" t="s">
        <v>70</v>
      </c>
      <c r="I39" s="12" t="s">
        <v>14</v>
      </c>
      <c r="J39" s="12" t="s">
        <v>403</v>
      </c>
      <c r="M39" s="16" t="str">
        <f>IF(E39="Não",H39,VLOOKUP(D39,'Inscrições'!D:G,4,FALSE))</f>
        <v>Maracaju</v>
      </c>
      <c r="N39" s="5" t="str">
        <f>IF(E39="Sim",VLOOKUP(D39,'Inscrições'!D:H,5,FALSE),I39)</f>
        <v>Gestão municipal</v>
      </c>
    </row>
    <row r="40" ht="22.5" hidden="1" customHeight="1">
      <c r="A40" s="11">
        <v>45750.39956738426</v>
      </c>
      <c r="B40" s="12" t="s">
        <v>270</v>
      </c>
      <c r="C40" s="12" t="s">
        <v>410</v>
      </c>
      <c r="D40" s="12" t="s">
        <v>272</v>
      </c>
      <c r="E40" s="12" t="s">
        <v>90</v>
      </c>
      <c r="F40" s="23">
        <v>36569.0</v>
      </c>
      <c r="G40" s="12" t="s">
        <v>413</v>
      </c>
      <c r="H40" s="12" t="s">
        <v>74</v>
      </c>
      <c r="I40" s="12" t="s">
        <v>14</v>
      </c>
      <c r="J40" s="12" t="s">
        <v>416</v>
      </c>
      <c r="M40" s="16" t="str">
        <f>IF(E40="Não",H40,VLOOKUP(D40,'Inscrições'!D:G,4,FALSE))</f>
        <v>Laguna Carapã</v>
      </c>
      <c r="N40" s="5" t="str">
        <f>IF(E40="Sim",VLOOKUP(D40,'Inscrições'!D:H,5,FALSE),I40)</f>
        <v>Gestão municipal</v>
      </c>
    </row>
    <row r="41" ht="22.5" customHeight="1">
      <c r="A41" s="11">
        <v>45750.397731770834</v>
      </c>
      <c r="B41" s="12" t="s">
        <v>327</v>
      </c>
      <c r="C41" s="12" t="s">
        <v>420</v>
      </c>
      <c r="D41" s="12" t="s">
        <v>329</v>
      </c>
      <c r="E41" s="12" t="s">
        <v>30</v>
      </c>
      <c r="M41" s="16" t="str">
        <f>IF(E41="Não",H41,VLOOKUP(D41,'Inscrições'!D:G,4,FALSE))</f>
        <v>Ponta Porã</v>
      </c>
      <c r="N41" s="5" t="str">
        <f>IF(E41="Sim",VLOOKUP(D41,'Inscrições'!D:H,5,FALSE),I41)</f>
        <v>Gestão municipal</v>
      </c>
    </row>
    <row r="42" ht="22.5" customHeight="1">
      <c r="A42" s="11">
        <v>45749.45882622685</v>
      </c>
      <c r="B42" s="12" t="s">
        <v>428</v>
      </c>
      <c r="C42" s="12" t="s">
        <v>429</v>
      </c>
      <c r="D42" s="12" t="s">
        <v>430</v>
      </c>
      <c r="E42" s="12" t="s">
        <v>30</v>
      </c>
      <c r="M42" s="5" t="str">
        <f>IF(E42="Não",H42,VLOOKUP(D42,'Inscrições'!D:G,4,FALSE))</f>
        <v>Aral Moreira</v>
      </c>
      <c r="N42" s="5" t="str">
        <f>IF(E42="Sim",VLOOKUP(D42,'Inscrições'!D:H,5,FALSE),I42)</f>
        <v>Gestão municipal</v>
      </c>
    </row>
    <row r="43" ht="22.5" customHeight="1">
      <c r="A43" s="11">
        <v>45749.692326041666</v>
      </c>
      <c r="B43" s="12" t="s">
        <v>428</v>
      </c>
      <c r="C43" s="12" t="s">
        <v>440</v>
      </c>
      <c r="D43" s="12" t="s">
        <v>430</v>
      </c>
      <c r="E43" s="12" t="s">
        <v>30</v>
      </c>
      <c r="M43" s="16" t="str">
        <f>IF(E43="Não",H43,VLOOKUP(D43,'Inscrições'!D:G,4,FALSE))</f>
        <v>Aral Moreira</v>
      </c>
      <c r="N43" s="5" t="str">
        <f>IF(E43="Sim",VLOOKUP(D43,'Inscrições'!D:H,5,FALSE),I43)</f>
        <v>Gestão municipal</v>
      </c>
    </row>
    <row r="44" ht="22.5" hidden="1" customHeight="1">
      <c r="A44" s="11">
        <v>45750.39854486111</v>
      </c>
      <c r="B44" s="12" t="s">
        <v>447</v>
      </c>
      <c r="C44" s="12" t="s">
        <v>449</v>
      </c>
      <c r="D44" s="12" t="s">
        <v>451</v>
      </c>
      <c r="E44" s="12" t="s">
        <v>30</v>
      </c>
      <c r="M44" s="16" t="str">
        <f>IF(E44="Não",H44,VLOOKUP(D44,'Inscrições'!D:G,4,FALSE))</f>
        <v>Cassilândia</v>
      </c>
      <c r="N44" s="5" t="str">
        <f>IF(E44="Sim",VLOOKUP(D44,'Inscrições'!D:H,5,FALSE),I44)</f>
        <v>Gestão municipal</v>
      </c>
    </row>
    <row r="45" ht="22.5" customHeight="1">
      <c r="A45" s="18">
        <v>45749.39763172454</v>
      </c>
      <c r="B45" s="19" t="s">
        <v>442</v>
      </c>
      <c r="C45" s="19" t="s">
        <v>443</v>
      </c>
      <c r="D45" s="19" t="s">
        <v>444</v>
      </c>
      <c r="E45" s="19" t="s">
        <v>30</v>
      </c>
      <c r="F45" s="5"/>
      <c r="G45" s="5"/>
      <c r="H45" s="5"/>
      <c r="I45" s="5"/>
      <c r="J45" s="5"/>
      <c r="K45" s="5"/>
      <c r="L45" s="5"/>
      <c r="M45" s="5" t="str">
        <f>IF(E45="Não",H45,VLOOKUP(D45,'Inscrições'!D:G,4,FALSE))</f>
        <v>Eldorado</v>
      </c>
      <c r="N45" s="5" t="str">
        <f>IF(E45="Sim",VLOOKUP(D45,'Inscrições'!D:H,5,FALSE),I45)</f>
        <v>Gestão municipal</v>
      </c>
    </row>
    <row r="46" ht="22.5" customHeight="1">
      <c r="A46" s="18">
        <v>45749.40478208334</v>
      </c>
      <c r="B46" s="19" t="s">
        <v>442</v>
      </c>
      <c r="C46" s="19" t="s">
        <v>443</v>
      </c>
      <c r="D46" s="19" t="s">
        <v>444</v>
      </c>
      <c r="E46" s="19" t="s">
        <v>30</v>
      </c>
      <c r="F46" s="5"/>
      <c r="G46" s="5"/>
      <c r="H46" s="5"/>
      <c r="I46" s="5"/>
      <c r="J46" s="5"/>
      <c r="K46" s="5"/>
      <c r="L46" s="5"/>
      <c r="M46" s="5" t="str">
        <f>IF(E46="Não",H46,VLOOKUP(D46,'Inscrições'!D:G,4,FALSE))</f>
        <v>Eldorado</v>
      </c>
      <c r="N46" s="5" t="str">
        <f>IF(E46="Sim",VLOOKUP(D46,'Inscrições'!D:H,5,FALSE),I46)</f>
        <v>Gestão municipal</v>
      </c>
    </row>
    <row r="47" ht="22.5" customHeight="1">
      <c r="A47" s="11">
        <v>45749.41274027778</v>
      </c>
      <c r="B47" s="12" t="s">
        <v>442</v>
      </c>
      <c r="C47" s="12" t="s">
        <v>443</v>
      </c>
      <c r="D47" s="12" t="s">
        <v>444</v>
      </c>
      <c r="E47" s="12" t="s">
        <v>30</v>
      </c>
      <c r="M47" s="5" t="str">
        <f>IF(E47="Não",H47,VLOOKUP(D47,'Inscrições'!D:G,4,FALSE))</f>
        <v>Eldorado</v>
      </c>
      <c r="N47" s="5" t="str">
        <f>IF(E47="Sim",VLOOKUP(D47,'Inscrições'!D:H,5,FALSE),I47)</f>
        <v>Gestão municipal</v>
      </c>
    </row>
    <row r="48" ht="22.5" customHeight="1">
      <c r="A48" s="18">
        <v>45749.406650185185</v>
      </c>
      <c r="B48" s="19" t="s">
        <v>212</v>
      </c>
      <c r="C48" s="19" t="s">
        <v>213</v>
      </c>
      <c r="D48" s="19" t="s">
        <v>214</v>
      </c>
      <c r="E48" s="19" t="s">
        <v>30</v>
      </c>
      <c r="F48" s="5"/>
      <c r="G48" s="5"/>
      <c r="H48" s="5"/>
      <c r="I48" s="5"/>
      <c r="J48" s="5"/>
      <c r="K48" s="5"/>
      <c r="L48" s="5"/>
      <c r="M48" s="5" t="str">
        <f>IF(E48="Não",H48,VLOOKUP(D48,'Inscrições'!D:G,4,FALSE))</f>
        <v>Amambai</v>
      </c>
      <c r="N48" s="5" t="str">
        <f>IF(E48="Sim",VLOOKUP(D48,'Inscrições'!D:H,5,FALSE),I48)</f>
        <v>CACS-FUNDEB</v>
      </c>
    </row>
    <row r="49" ht="22.5" customHeight="1">
      <c r="A49" s="11">
        <v>45750.399561377315</v>
      </c>
      <c r="B49" s="12" t="s">
        <v>493</v>
      </c>
      <c r="C49" s="12" t="s">
        <v>495</v>
      </c>
      <c r="D49" s="12" t="s">
        <v>497</v>
      </c>
      <c r="E49" s="12" t="s">
        <v>90</v>
      </c>
      <c r="F49" s="23">
        <v>31913.0</v>
      </c>
      <c r="G49" s="12" t="s">
        <v>500</v>
      </c>
      <c r="H49" s="12" t="s">
        <v>74</v>
      </c>
      <c r="I49" s="12" t="s">
        <v>13</v>
      </c>
      <c r="L49" s="12" t="s">
        <v>504</v>
      </c>
      <c r="M49" s="16" t="str">
        <f>IF(E49="Não",H49,VLOOKUP(D49,'Inscrições'!D:G,4,FALSE))</f>
        <v>Laguna Carapã</v>
      </c>
      <c r="N49" s="5" t="str">
        <f>IF(E49="Sim",VLOOKUP(D49,'Inscrições'!D:H,5,FALSE),I49)</f>
        <v>CACS-FUNDEB</v>
      </c>
    </row>
    <row r="50" ht="22.5" customHeight="1">
      <c r="A50" s="11">
        <v>45749.498308993054</v>
      </c>
      <c r="B50" s="12" t="s">
        <v>412</v>
      </c>
      <c r="C50" s="12" t="s">
        <v>414</v>
      </c>
      <c r="D50" s="12" t="s">
        <v>415</v>
      </c>
      <c r="E50" s="12" t="s">
        <v>30</v>
      </c>
      <c r="M50" s="5" t="str">
        <f>IF(E50="Não",H50,VLOOKUP(D50,'Inscrições'!D:G,4,FALSE))</f>
        <v>Bataguassu</v>
      </c>
      <c r="N50" s="5" t="str">
        <f>IF(E50="Sim",VLOOKUP(D50,'Inscrições'!D:H,5,FALSE),I50)</f>
        <v>Gestão municipal</v>
      </c>
    </row>
    <row r="51" ht="22.5" customHeight="1">
      <c r="A51" s="11">
        <v>45749.41276417824</v>
      </c>
      <c r="B51" s="12" t="s">
        <v>501</v>
      </c>
      <c r="C51" s="12" t="s">
        <v>502</v>
      </c>
      <c r="D51" s="12" t="s">
        <v>503</v>
      </c>
      <c r="E51" s="12" t="s">
        <v>30</v>
      </c>
      <c r="M51" s="5" t="str">
        <f>IF(E51="Não",H51,VLOOKUP(D51,'Inscrições'!D:G,4,FALSE))</f>
        <v>Amambai</v>
      </c>
      <c r="N51" s="5" t="str">
        <f>IF(E51="Sim",VLOOKUP(D51,'Inscrições'!D:H,5,FALSE),I51)</f>
        <v>Gestão municipal</v>
      </c>
    </row>
    <row r="52" ht="22.5" customHeight="1">
      <c r="A52" s="11">
        <v>45749.44077</v>
      </c>
      <c r="B52" s="12" t="s">
        <v>520</v>
      </c>
      <c r="C52" s="12" t="s">
        <v>98</v>
      </c>
      <c r="D52" s="12" t="s">
        <v>99</v>
      </c>
      <c r="E52" s="12" t="s">
        <v>30</v>
      </c>
      <c r="M52" s="5" t="str">
        <f>IF(E52="Não",H52,VLOOKUP(D52,'Inscrições'!D:G,4,FALSE))</f>
        <v>Ivinhema</v>
      </c>
      <c r="N52" s="5" t="str">
        <f>IF(E52="Sim",VLOOKUP(D52,'Inscrições'!D:H,5,FALSE),I52)</f>
        <v>Gestão municipal</v>
      </c>
    </row>
    <row r="53" ht="22.5" hidden="1" customHeight="1">
      <c r="A53" s="18">
        <v>45749.383134131946</v>
      </c>
      <c r="B53" s="19" t="s">
        <v>370</v>
      </c>
      <c r="C53" s="19" t="s">
        <v>526</v>
      </c>
      <c r="D53" s="19" t="s">
        <v>372</v>
      </c>
      <c r="E53" s="19" t="s">
        <v>30</v>
      </c>
      <c r="F53" s="5"/>
      <c r="G53" s="5"/>
      <c r="H53" s="5"/>
      <c r="I53" s="5"/>
      <c r="J53" s="5"/>
      <c r="K53" s="5"/>
      <c r="L53" s="5"/>
      <c r="M53" s="5" t="str">
        <f>IF(E53="Não",H53,VLOOKUP(D53,'Inscrições'!D:G,4,FALSE))</f>
        <v>Glória de Dourados</v>
      </c>
      <c r="N53" s="5" t="str">
        <f>IF(E53="Sim",VLOOKUP(D53,'Inscrições'!D:H,5,FALSE),I53)</f>
        <v>Gestão municipal</v>
      </c>
    </row>
    <row r="54" ht="22.5" hidden="1" customHeight="1">
      <c r="A54" s="18">
        <v>45749.40458284722</v>
      </c>
      <c r="B54" s="19" t="s">
        <v>370</v>
      </c>
      <c r="C54" s="19" t="s">
        <v>371</v>
      </c>
      <c r="D54" s="19" t="s">
        <v>372</v>
      </c>
      <c r="E54" s="19" t="s">
        <v>30</v>
      </c>
      <c r="F54" s="5"/>
      <c r="G54" s="5"/>
      <c r="H54" s="5"/>
      <c r="I54" s="5"/>
      <c r="J54" s="5"/>
      <c r="K54" s="5"/>
      <c r="L54" s="5"/>
      <c r="M54" s="5" t="str">
        <f>IF(E54="Não",H54,VLOOKUP(D54,'Inscrições'!D:G,4,FALSE))</f>
        <v>Glória de Dourados</v>
      </c>
      <c r="N54" s="5" t="str">
        <f>IF(E54="Sim",VLOOKUP(D54,'Inscrições'!D:H,5,FALSE),I54)</f>
        <v>Gestão municipal</v>
      </c>
    </row>
    <row r="55" ht="22.5" hidden="1" customHeight="1">
      <c r="A55" s="18">
        <v>45749.40729819445</v>
      </c>
      <c r="B55" s="19" t="s">
        <v>370</v>
      </c>
      <c r="C55" s="19" t="s">
        <v>371</v>
      </c>
      <c r="D55" s="19" t="s">
        <v>372</v>
      </c>
      <c r="E55" s="19" t="s">
        <v>30</v>
      </c>
      <c r="F55" s="5"/>
      <c r="G55" s="5"/>
      <c r="H55" s="5"/>
      <c r="I55" s="5"/>
      <c r="J55" s="5"/>
      <c r="K55" s="5"/>
      <c r="L55" s="5"/>
      <c r="M55" s="5" t="str">
        <f>IF(E55="Não",H55,VLOOKUP(D55,'Inscrições'!D:G,4,FALSE))</f>
        <v>Glória de Dourados</v>
      </c>
      <c r="N55" s="5" t="str">
        <f>IF(E55="Sim",VLOOKUP(D55,'Inscrições'!D:H,5,FALSE),I55)</f>
        <v>Gestão municipal</v>
      </c>
    </row>
    <row r="56" ht="22.5" hidden="1" customHeight="1">
      <c r="A56" s="11">
        <v>45749.502632476855</v>
      </c>
      <c r="B56" s="12" t="s">
        <v>370</v>
      </c>
      <c r="C56" s="12" t="s">
        <v>371</v>
      </c>
      <c r="D56" s="12" t="s">
        <v>372</v>
      </c>
      <c r="E56" s="12" t="s">
        <v>30</v>
      </c>
      <c r="M56" s="5" t="str">
        <f>IF(E56="Não",H56,VLOOKUP(D56,'Inscrições'!D:G,4,FALSE))</f>
        <v>Glória de Dourados</v>
      </c>
      <c r="N56" s="5" t="str">
        <f>IF(E56="Sim",VLOOKUP(D56,'Inscrições'!D:H,5,FALSE),I56)</f>
        <v>Gestão municipal</v>
      </c>
    </row>
    <row r="57" ht="22.5" hidden="1" customHeight="1">
      <c r="A57" s="11">
        <v>45749.47155960648</v>
      </c>
      <c r="B57" s="12" t="s">
        <v>169</v>
      </c>
      <c r="C57" s="12" t="s">
        <v>170</v>
      </c>
      <c r="D57" s="12" t="s">
        <v>171</v>
      </c>
      <c r="E57" s="12" t="s">
        <v>30</v>
      </c>
      <c r="M57" s="5" t="str">
        <f>IF(E57="Não",H57,VLOOKUP(D57,'Inscrições'!D:G,4,FALSE))</f>
        <v>Batayporã</v>
      </c>
      <c r="N57" s="5" t="str">
        <f>IF(E57="Sim",VLOOKUP(D57,'Inscrições'!D:H,5,FALSE),I57)</f>
        <v>CACS-FUNDEB</v>
      </c>
    </row>
    <row r="58" ht="22.5" customHeight="1">
      <c r="A58" s="18">
        <v>45749.40817298611</v>
      </c>
      <c r="B58" s="19" t="s">
        <v>436</v>
      </c>
      <c r="C58" s="19" t="s">
        <v>562</v>
      </c>
      <c r="D58" s="19" t="s">
        <v>438</v>
      </c>
      <c r="E58" s="19" t="s">
        <v>30</v>
      </c>
      <c r="F58" s="5"/>
      <c r="G58" s="5"/>
      <c r="H58" s="5"/>
      <c r="I58" s="5"/>
      <c r="J58" s="5"/>
      <c r="K58" s="5"/>
      <c r="L58" s="5"/>
      <c r="M58" s="5" t="str">
        <f>IF(E58="Não",H58,VLOOKUP(D58,'Inscrições'!D:G,4,FALSE))</f>
        <v>Itaporã</v>
      </c>
      <c r="N58" s="5" t="str">
        <f>IF(E58="Sim",VLOOKUP(D58,'Inscrições'!D:H,5,FALSE),I58)</f>
        <v>CACS-FUNDEB</v>
      </c>
    </row>
    <row r="59" ht="22.5" hidden="1" customHeight="1">
      <c r="A59" s="11">
        <v>45749.416073078704</v>
      </c>
      <c r="B59" s="12" t="s">
        <v>568</v>
      </c>
      <c r="C59" s="12" t="s">
        <v>569</v>
      </c>
      <c r="D59" s="12" t="s">
        <v>570</v>
      </c>
      <c r="E59" s="12" t="s">
        <v>90</v>
      </c>
      <c r="F59" s="21">
        <v>25470.0</v>
      </c>
      <c r="G59" s="12" t="s">
        <v>572</v>
      </c>
      <c r="H59" s="12" t="s">
        <v>50</v>
      </c>
      <c r="I59" s="12" t="s">
        <v>13</v>
      </c>
      <c r="L59" s="12" t="s">
        <v>177</v>
      </c>
      <c r="M59" s="25" t="str">
        <f>IF(E59="Não",H59,VLOOKUP(D59,'Inscrições'!D:G,4,FALSE))</f>
        <v>Glória de Dourados</v>
      </c>
      <c r="N59" s="25" t="str">
        <f>IF(E59="Sim",VLOOKUP(D59,'Inscrições'!D:H,5,FALSE),I59)</f>
        <v>CACS-FUNDEB</v>
      </c>
    </row>
    <row r="60" ht="22.5" customHeight="1">
      <c r="A60" s="11">
        <v>45750.54105237269</v>
      </c>
      <c r="B60" s="12" t="s">
        <v>577</v>
      </c>
      <c r="C60" s="12" t="s">
        <v>579</v>
      </c>
      <c r="D60" s="12" t="s">
        <v>582</v>
      </c>
      <c r="E60" s="12" t="s">
        <v>30</v>
      </c>
      <c r="M60" s="16" t="str">
        <f>IF(E60="Não",H60,VLOOKUP(D60,'Inscrições'!D:G,4,FALSE))</f>
        <v>#N/A</v>
      </c>
      <c r="N60" s="16" t="str">
        <f>IF(E60="Sim",VLOOKUP(D60,'Inscrições'!D:H,5,FALSE),I60)</f>
        <v>#N/A</v>
      </c>
    </row>
    <row r="61" ht="22.5" customHeight="1">
      <c r="A61" s="11">
        <v>45750.397339166666</v>
      </c>
      <c r="B61" s="12" t="s">
        <v>584</v>
      </c>
      <c r="C61" s="12" t="s">
        <v>585</v>
      </c>
      <c r="D61" s="12" t="s">
        <v>295</v>
      </c>
      <c r="E61" s="12" t="s">
        <v>30</v>
      </c>
      <c r="M61" s="16" t="str">
        <f>IF(E61="Não",H61,VLOOKUP(D61,'Inscrições'!D:G,4,FALSE))</f>
        <v>Laguna Carapã</v>
      </c>
      <c r="N61" s="5" t="str">
        <f>IF(E61="Sim",VLOOKUP(D61,'Inscrições'!D:H,5,FALSE),I61)</f>
        <v>CACS-FUNDEB</v>
      </c>
    </row>
    <row r="62" ht="22.5" customHeight="1">
      <c r="A62" s="11">
        <v>45750.4066999537</v>
      </c>
      <c r="B62" s="12" t="s">
        <v>563</v>
      </c>
      <c r="C62" s="12" t="s">
        <v>564</v>
      </c>
      <c r="D62" s="12" t="s">
        <v>565</v>
      </c>
      <c r="E62" s="12" t="s">
        <v>30</v>
      </c>
      <c r="M62" s="16" t="str">
        <f>IF(E62="Não",H62,VLOOKUP(D62,'Inscrições'!D:G,4,FALSE))</f>
        <v>Ponta Porã</v>
      </c>
      <c r="N62" s="5" t="str">
        <f>IF(E62="Sim",VLOOKUP(D62,'Inscrições'!D:H,5,FALSE),I62)</f>
        <v>CACS-FUNDEB</v>
      </c>
    </row>
    <row r="63" ht="22.5" customHeight="1">
      <c r="A63" s="11">
        <v>45750.401470578705</v>
      </c>
      <c r="B63" s="12" t="s">
        <v>586</v>
      </c>
      <c r="C63" s="12" t="s">
        <v>587</v>
      </c>
      <c r="D63" s="12" t="s">
        <v>473</v>
      </c>
      <c r="E63" s="12" t="s">
        <v>30</v>
      </c>
      <c r="M63" s="16" t="str">
        <f>IF(E63="Não",H63,VLOOKUP(D63,'Inscrições'!D:G,4,FALSE))</f>
        <v>Taquarussu</v>
      </c>
      <c r="N63" s="5" t="str">
        <f>IF(E63="Sim",VLOOKUP(D63,'Inscrições'!D:H,5,FALSE),I63)</f>
        <v>Gestão municipal</v>
      </c>
    </row>
    <row r="64" ht="22.5" customHeight="1">
      <c r="A64" s="11">
        <v>45749.417769907406</v>
      </c>
      <c r="B64" s="12" t="s">
        <v>588</v>
      </c>
      <c r="C64" s="12" t="s">
        <v>589</v>
      </c>
      <c r="D64" s="12" t="s">
        <v>590</v>
      </c>
      <c r="E64" s="12" t="s">
        <v>90</v>
      </c>
      <c r="F64" s="21">
        <v>25676.0</v>
      </c>
      <c r="G64" s="12" t="s">
        <v>591</v>
      </c>
      <c r="H64" s="12" t="s">
        <v>40</v>
      </c>
      <c r="I64" s="12" t="s">
        <v>14</v>
      </c>
      <c r="J64" s="12" t="s">
        <v>592</v>
      </c>
      <c r="K64" s="12" t="s">
        <v>593</v>
      </c>
      <c r="M64" s="5" t="str">
        <f>IF(E64="Não",H64,VLOOKUP(D64,'Inscrições'!D:G,4,FALSE))</f>
        <v>Coronel Sapucaia</v>
      </c>
      <c r="N64" s="5" t="str">
        <f>IF(E64="Sim",VLOOKUP(D64,'Inscrições'!D:H,5,FALSE),I64)</f>
        <v>Gestão municipal</v>
      </c>
    </row>
    <row r="65" ht="22.5" customHeight="1">
      <c r="A65" s="18">
        <v>45749.404694641205</v>
      </c>
      <c r="B65" s="19" t="s">
        <v>594</v>
      </c>
      <c r="C65" s="19" t="s">
        <v>595</v>
      </c>
      <c r="D65" s="19" t="s">
        <v>366</v>
      </c>
      <c r="E65" s="19" t="s">
        <v>30</v>
      </c>
      <c r="F65" s="5"/>
      <c r="G65" s="5"/>
      <c r="H65" s="5"/>
      <c r="I65" s="5"/>
      <c r="J65" s="5"/>
      <c r="K65" s="5"/>
      <c r="L65" s="5"/>
      <c r="M65" s="5" t="str">
        <f>IF(E65="Não",H65,VLOOKUP(D65,'Inscrições'!D:G,4,FALSE))</f>
        <v>Anaurilândia</v>
      </c>
      <c r="N65" s="5" t="str">
        <f>IF(E65="Sim",VLOOKUP(D65,'Inscrições'!D:H,5,FALSE),I65)</f>
        <v>Gestão municipal</v>
      </c>
    </row>
    <row r="66" ht="22.5" customHeight="1">
      <c r="A66" s="18">
        <v>45749.403313483796</v>
      </c>
      <c r="B66" s="19" t="s">
        <v>596</v>
      </c>
      <c r="C66" s="19" t="s">
        <v>597</v>
      </c>
      <c r="D66" s="19" t="s">
        <v>245</v>
      </c>
      <c r="E66" s="19" t="s">
        <v>30</v>
      </c>
      <c r="F66" s="5"/>
      <c r="G66" s="5"/>
      <c r="H66" s="5"/>
      <c r="I66" s="5"/>
      <c r="J66" s="5"/>
      <c r="K66" s="5"/>
      <c r="L66" s="5"/>
      <c r="M66" s="5" t="str">
        <f>IF(E66="Não",H66,VLOOKUP(D66,'Inscrições'!D:G,4,FALSE))</f>
        <v>Itaquiraí</v>
      </c>
      <c r="N66" s="5" t="str">
        <f>IF(E66="Sim",VLOOKUP(D66,'Inscrições'!D:H,5,FALSE),I66)</f>
        <v>Gestão municipal</v>
      </c>
    </row>
    <row r="67" ht="22.5" customHeight="1">
      <c r="A67" s="11">
        <v>45749.50559315972</v>
      </c>
      <c r="B67" s="12" t="s">
        <v>598</v>
      </c>
      <c r="C67" s="12" t="s">
        <v>599</v>
      </c>
      <c r="D67" s="12" t="s">
        <v>245</v>
      </c>
      <c r="E67" s="12" t="s">
        <v>30</v>
      </c>
      <c r="M67" s="5" t="str">
        <f>IF(E67="Não",H67,VLOOKUP(D67,'Inscrições'!D:G,4,FALSE))</f>
        <v>Itaquiraí</v>
      </c>
      <c r="N67" s="5" t="str">
        <f>IF(E67="Sim",VLOOKUP(D67,'Inscrições'!D:H,5,FALSE),I67)</f>
        <v>Gestão municipal</v>
      </c>
    </row>
    <row r="68" ht="22.5" customHeight="1">
      <c r="A68" s="11">
        <v>45750.539664641205</v>
      </c>
      <c r="B68" s="12" t="s">
        <v>600</v>
      </c>
      <c r="C68" s="12" t="s">
        <v>601</v>
      </c>
      <c r="D68" s="12" t="s">
        <v>602</v>
      </c>
      <c r="E68" s="12" t="s">
        <v>90</v>
      </c>
      <c r="F68" s="21">
        <v>27486.0</v>
      </c>
      <c r="G68" s="12" t="s">
        <v>603</v>
      </c>
      <c r="H68" s="12" t="s">
        <v>104</v>
      </c>
      <c r="I68" s="12" t="s">
        <v>14</v>
      </c>
      <c r="J68" s="12" t="s">
        <v>604</v>
      </c>
      <c r="M68" s="16" t="str">
        <f>IF(E68="Não",H68,VLOOKUP(D68,'Inscrições'!D:G,4,FALSE))</f>
        <v>Sete Quedas</v>
      </c>
      <c r="N68" s="16" t="str">
        <f>IF(E68="Sim",VLOOKUP(D68,'Inscrições'!D:H,5,FALSE),I68)</f>
        <v>Gestão municipal</v>
      </c>
    </row>
    <row r="69" ht="22.5" customHeight="1">
      <c r="A69" s="11">
        <v>45750.40010601852</v>
      </c>
      <c r="B69" s="12" t="s">
        <v>571</v>
      </c>
      <c r="C69" s="12" t="s">
        <v>573</v>
      </c>
      <c r="D69" s="12" t="s">
        <v>574</v>
      </c>
      <c r="E69" s="12" t="s">
        <v>30</v>
      </c>
      <c r="M69" s="16" t="str">
        <f>IF(E69="Não",H69,VLOOKUP(D69,'Inscrições'!D:G,4,FALSE))</f>
        <v>Vicentina</v>
      </c>
      <c r="N69" s="5" t="str">
        <f>IF(E69="Sim",VLOOKUP(D69,'Inscrições'!D:H,5,FALSE),I69)</f>
        <v>CACS-FUNDEB</v>
      </c>
    </row>
    <row r="70" ht="22.5" customHeight="1">
      <c r="A70" s="11">
        <v>45749.413162060184</v>
      </c>
      <c r="B70" s="12" t="s">
        <v>605</v>
      </c>
      <c r="C70" s="12" t="s">
        <v>606</v>
      </c>
      <c r="D70" s="12" t="s">
        <v>607</v>
      </c>
      <c r="E70" s="12" t="s">
        <v>90</v>
      </c>
      <c r="F70" s="21">
        <v>26355.0</v>
      </c>
      <c r="G70" s="12" t="s">
        <v>608</v>
      </c>
      <c r="H70" s="12" t="s">
        <v>43</v>
      </c>
      <c r="I70" s="12" t="s">
        <v>14</v>
      </c>
      <c r="J70" s="12" t="s">
        <v>609</v>
      </c>
      <c r="K70" s="12" t="s">
        <v>610</v>
      </c>
      <c r="M70" s="5" t="str">
        <f>IF(E70="Não",H70,VLOOKUP(D70,'Inscrições'!D:G,4,FALSE))</f>
        <v>Dourados</v>
      </c>
      <c r="N70" s="5" t="str">
        <f>IF(E70="Sim",VLOOKUP(D70,'Inscrições'!D:H,5,FALSE),I70)</f>
        <v>Gestão municipal</v>
      </c>
    </row>
    <row r="71" ht="22.5" customHeight="1">
      <c r="A71" s="11">
        <v>45750.40182753472</v>
      </c>
      <c r="B71" s="12" t="s">
        <v>611</v>
      </c>
      <c r="C71" s="12" t="s">
        <v>612</v>
      </c>
      <c r="D71" s="12" t="s">
        <v>190</v>
      </c>
      <c r="E71" s="12" t="s">
        <v>30</v>
      </c>
      <c r="M71" s="16" t="str">
        <f>IF(E71="Não",H71,VLOOKUP(D71,'Inscrições'!D:G,4,FALSE))</f>
        <v>Jateí</v>
      </c>
      <c r="N71" s="5" t="str">
        <f>IF(E71="Sim",VLOOKUP(D71,'Inscrições'!D:H,5,FALSE),I71)</f>
        <v>Gestão municipal</v>
      </c>
    </row>
    <row r="72" ht="22.5" customHeight="1">
      <c r="A72" s="11">
        <v>45749.49579956019</v>
      </c>
      <c r="B72" s="12" t="s">
        <v>448</v>
      </c>
      <c r="C72" s="12" t="s">
        <v>613</v>
      </c>
      <c r="D72" s="12" t="s">
        <v>452</v>
      </c>
      <c r="E72" s="12" t="s">
        <v>30</v>
      </c>
      <c r="M72" s="5" t="str">
        <f>IF(E72="Não",H72,VLOOKUP(D72,'Inscrições'!D:G,4,FALSE))</f>
        <v>Douradina</v>
      </c>
      <c r="N72" s="5" t="str">
        <f>IF(E72="Sim",VLOOKUP(D72,'Inscrições'!D:H,5,FALSE),I72)</f>
        <v>Gestão municipal</v>
      </c>
    </row>
    <row r="73" ht="22.5" customHeight="1">
      <c r="A73" s="11">
        <v>45750.40029939815</v>
      </c>
      <c r="B73" s="12" t="s">
        <v>614</v>
      </c>
      <c r="C73" s="12" t="s">
        <v>512</v>
      </c>
      <c r="D73" s="12" t="s">
        <v>513</v>
      </c>
      <c r="E73" s="12" t="s">
        <v>30</v>
      </c>
      <c r="M73" s="16" t="str">
        <f>IF(E73="Não",H73,VLOOKUP(D73,'Inscrições'!D:G,4,FALSE))</f>
        <v>Naviraí</v>
      </c>
      <c r="N73" s="5" t="str">
        <f>IF(E73="Sim",VLOOKUP(D73,'Inscrições'!D:H,5,FALSE),I73)</f>
        <v>CACS-FUNDEB</v>
      </c>
    </row>
    <row r="74" ht="22.5" customHeight="1">
      <c r="A74" s="18">
        <v>45749.40998138889</v>
      </c>
      <c r="B74" s="19" t="s">
        <v>615</v>
      </c>
      <c r="C74" s="19" t="s">
        <v>616</v>
      </c>
      <c r="D74" s="19" t="s">
        <v>617</v>
      </c>
      <c r="E74" s="19" t="s">
        <v>90</v>
      </c>
      <c r="F74" s="22">
        <v>28376.0</v>
      </c>
      <c r="G74" s="19" t="s">
        <v>618</v>
      </c>
      <c r="H74" s="19" t="s">
        <v>55</v>
      </c>
      <c r="I74" s="19" t="s">
        <v>14</v>
      </c>
      <c r="J74" s="19" t="s">
        <v>619</v>
      </c>
      <c r="K74" s="19" t="s">
        <v>620</v>
      </c>
      <c r="L74" s="5"/>
      <c r="M74" s="5" t="str">
        <f>IF(E74="Não",H74,VLOOKUP(D74,'Inscrições'!D:G,4,FALSE))</f>
        <v>Itaporã</v>
      </c>
      <c r="N74" s="5" t="str">
        <f>IF(E74="Sim",VLOOKUP(D74,'Inscrições'!D:H,5,FALSE),I74)</f>
        <v>Gestão municipal</v>
      </c>
    </row>
    <row r="75" ht="22.5" customHeight="1">
      <c r="A75" s="11">
        <v>45750.39475864584</v>
      </c>
      <c r="B75" s="12" t="s">
        <v>558</v>
      </c>
      <c r="C75" s="12" t="s">
        <v>559</v>
      </c>
      <c r="D75" s="12" t="s">
        <v>555</v>
      </c>
      <c r="E75" s="12" t="s">
        <v>30</v>
      </c>
      <c r="M75" s="16" t="str">
        <f>IF(E75="Não",H75,VLOOKUP(D75,'Inscrições'!D:G,4,FALSE))</f>
        <v>Mundo Novo</v>
      </c>
      <c r="N75" s="5" t="str">
        <f>IF(E75="Sim",VLOOKUP(D75,'Inscrições'!D:H,5,FALSE),I75)</f>
        <v>Gestão municipal</v>
      </c>
    </row>
    <row r="76" ht="22.5" customHeight="1">
      <c r="A76" s="18">
        <v>45749.40301592593</v>
      </c>
      <c r="B76" s="19" t="s">
        <v>356</v>
      </c>
      <c r="C76" s="19" t="s">
        <v>621</v>
      </c>
      <c r="D76" s="19" t="s">
        <v>360</v>
      </c>
      <c r="E76" s="19" t="s">
        <v>30</v>
      </c>
      <c r="F76" s="5"/>
      <c r="G76" s="5"/>
      <c r="H76" s="5"/>
      <c r="I76" s="5"/>
      <c r="J76" s="5"/>
      <c r="K76" s="5"/>
      <c r="L76" s="5"/>
      <c r="M76" s="5" t="str">
        <f>IF(E76="Não",H76,VLOOKUP(D76,'Inscrições'!D:G,4,FALSE))</f>
        <v>Anaurilândia</v>
      </c>
      <c r="N76" s="5" t="str">
        <f>IF(E76="Sim",VLOOKUP(D76,'Inscrições'!D:H,5,FALSE),I76)</f>
        <v>Gestão municipal</v>
      </c>
    </row>
    <row r="77" ht="22.5" customHeight="1">
      <c r="A77" s="11">
        <v>45749.69866550926</v>
      </c>
      <c r="B77" s="12" t="s">
        <v>220</v>
      </c>
      <c r="C77" s="12" t="s">
        <v>221</v>
      </c>
      <c r="D77" s="12" t="s">
        <v>222</v>
      </c>
      <c r="E77" s="12" t="s">
        <v>30</v>
      </c>
      <c r="M77" s="16" t="str">
        <f>IF(E77="Não",H77,VLOOKUP(D77,'Inscrições'!D:G,4,FALSE))</f>
        <v>Batayporã</v>
      </c>
      <c r="N77" s="5" t="str">
        <f>IF(E77="Sim",VLOOKUP(D77,'Inscrições'!D:H,5,FALSE),I77)</f>
        <v>Gestão municipal</v>
      </c>
    </row>
    <row r="78" ht="22.5" customHeight="1">
      <c r="A78" s="18">
        <v>45749.400063402776</v>
      </c>
      <c r="B78" s="19" t="s">
        <v>238</v>
      </c>
      <c r="C78" s="19" t="s">
        <v>622</v>
      </c>
      <c r="D78" s="19" t="s">
        <v>240</v>
      </c>
      <c r="E78" s="19" t="s">
        <v>30</v>
      </c>
      <c r="F78" s="5"/>
      <c r="G78" s="5"/>
      <c r="H78" s="5"/>
      <c r="I78" s="5"/>
      <c r="J78" s="5"/>
      <c r="K78" s="5"/>
      <c r="L78" s="5"/>
      <c r="M78" s="5" t="str">
        <f>IF(E78="Não",H78,VLOOKUP(D78,'Inscrições'!D:G,4,FALSE))</f>
        <v>Itaquiraí</v>
      </c>
      <c r="N78" s="5" t="str">
        <f>IF(E78="Sim",VLOOKUP(D78,'Inscrições'!D:H,5,FALSE),I78)</f>
        <v>Gestão municipal</v>
      </c>
    </row>
    <row r="79" ht="22.5" customHeight="1">
      <c r="A79" s="18">
        <v>45749.40531969907</v>
      </c>
      <c r="B79" s="19" t="s">
        <v>238</v>
      </c>
      <c r="C79" s="19" t="s">
        <v>622</v>
      </c>
      <c r="D79" s="19" t="s">
        <v>240</v>
      </c>
      <c r="E79" s="19" t="s">
        <v>30</v>
      </c>
      <c r="F79" s="5"/>
      <c r="G79" s="5"/>
      <c r="H79" s="5"/>
      <c r="I79" s="5"/>
      <c r="J79" s="5"/>
      <c r="K79" s="5"/>
      <c r="L79" s="5"/>
      <c r="M79" s="5" t="str">
        <f>IF(E79="Não",H79,VLOOKUP(D79,'Inscrições'!D:G,4,FALSE))</f>
        <v>Itaquiraí</v>
      </c>
      <c r="N79" s="5" t="str">
        <f>IF(E79="Sim",VLOOKUP(D79,'Inscrições'!D:H,5,FALSE),I79)</f>
        <v>Gestão municipal</v>
      </c>
    </row>
    <row r="80" ht="22.5" customHeight="1">
      <c r="A80" s="11">
        <v>45749.50488857639</v>
      </c>
      <c r="B80" s="12" t="s">
        <v>238</v>
      </c>
      <c r="C80" s="12" t="s">
        <v>622</v>
      </c>
      <c r="D80" s="12" t="s">
        <v>240</v>
      </c>
      <c r="E80" s="12" t="s">
        <v>30</v>
      </c>
      <c r="M80" s="5" t="str">
        <f>IF(E80="Não",H80,VLOOKUP(D80,'Inscrições'!D:G,4,FALSE))</f>
        <v>Itaquiraí</v>
      </c>
      <c r="N80" s="5" t="str">
        <f>IF(E80="Sim",VLOOKUP(D80,'Inscrições'!D:H,5,FALSE),I80)</f>
        <v>Gestão municipal</v>
      </c>
    </row>
    <row r="81" ht="22.5" customHeight="1">
      <c r="A81" s="11">
        <v>45750.4024715625</v>
      </c>
      <c r="B81" s="12" t="s">
        <v>623</v>
      </c>
      <c r="C81" s="12" t="s">
        <v>624</v>
      </c>
      <c r="D81" s="12" t="s">
        <v>625</v>
      </c>
      <c r="E81" s="12" t="s">
        <v>90</v>
      </c>
      <c r="F81" s="21">
        <v>28771.0</v>
      </c>
      <c r="G81" s="12" t="s">
        <v>626</v>
      </c>
      <c r="H81" s="12" t="s">
        <v>65</v>
      </c>
      <c r="I81" s="12" t="s">
        <v>13</v>
      </c>
      <c r="L81" s="12" t="s">
        <v>157</v>
      </c>
      <c r="M81" s="16" t="str">
        <f>IF(E81="Não",H81,VLOOKUP(D81,'Inscrições'!D:G,4,FALSE))</f>
        <v>Japorã</v>
      </c>
      <c r="N81" s="5" t="str">
        <f>IF(E81="Sim",VLOOKUP(D81,'Inscrições'!D:H,5,FALSE),I81)</f>
        <v>CACS-FUNDEB</v>
      </c>
    </row>
    <row r="82" ht="22.5" customHeight="1">
      <c r="A82" s="18">
        <v>45749.40995065973</v>
      </c>
      <c r="B82" s="19" t="s">
        <v>627</v>
      </c>
      <c r="C82" s="19" t="s">
        <v>628</v>
      </c>
      <c r="D82" s="19" t="s">
        <v>113</v>
      </c>
      <c r="E82" s="19" t="s">
        <v>30</v>
      </c>
      <c r="F82" s="5"/>
      <c r="G82" s="5"/>
      <c r="H82" s="5"/>
      <c r="I82" s="5"/>
      <c r="J82" s="5"/>
      <c r="K82" s="5"/>
      <c r="L82" s="5"/>
      <c r="M82" s="5" t="str">
        <f>IF(E82="Não",H82,VLOOKUP(D82,'Inscrições'!D:G,4,FALSE))</f>
        <v>Itaporã</v>
      </c>
      <c r="N82" s="5" t="str">
        <f>IF(E82="Sim",VLOOKUP(D82,'Inscrições'!D:H,5,FALSE),I82)</f>
        <v>Gestão municipal</v>
      </c>
    </row>
    <row r="83" ht="22.5" customHeight="1">
      <c r="A83" s="11">
        <v>45750.414317002316</v>
      </c>
      <c r="B83" s="12" t="s">
        <v>629</v>
      </c>
      <c r="C83" s="12" t="s">
        <v>630</v>
      </c>
      <c r="D83" s="12" t="s">
        <v>199</v>
      </c>
      <c r="E83" s="12" t="s">
        <v>30</v>
      </c>
      <c r="M83" s="16" t="str">
        <f>IF(E83="Não",H83,VLOOKUP(D83,'Inscrições'!D:G,4,FALSE))</f>
        <v>Jateí</v>
      </c>
      <c r="N83" s="5" t="str">
        <f>IF(E83="Sim",VLOOKUP(D83,'Inscrições'!D:H,5,FALSE),I83)</f>
        <v>CACS-FUNDEB</v>
      </c>
    </row>
    <row r="84" ht="22.5" customHeight="1">
      <c r="A84" s="11">
        <v>45749.5023171412</v>
      </c>
      <c r="B84" s="12" t="s">
        <v>388</v>
      </c>
      <c r="C84" s="12" t="s">
        <v>631</v>
      </c>
      <c r="D84" s="12" t="s">
        <v>390</v>
      </c>
      <c r="E84" s="12" t="s">
        <v>30</v>
      </c>
      <c r="M84" s="5" t="str">
        <f>IF(E84="Não",H84,VLOOKUP(D84,'Inscrições'!D:G,4,FALSE))</f>
        <v>Dourados</v>
      </c>
      <c r="N84" s="5" t="str">
        <f>IF(E84="Sim",VLOOKUP(D84,'Inscrições'!D:H,5,FALSE),I84)</f>
        <v>CACS-FUNDEB</v>
      </c>
    </row>
    <row r="85" ht="22.5" customHeight="1">
      <c r="A85" s="11">
        <v>45749.541433391205</v>
      </c>
      <c r="B85" s="12" t="s">
        <v>388</v>
      </c>
      <c r="C85" s="12" t="s">
        <v>631</v>
      </c>
      <c r="D85" s="12" t="s">
        <v>390</v>
      </c>
      <c r="E85" s="12" t="s">
        <v>30</v>
      </c>
      <c r="M85" s="16" t="str">
        <f>IF(E85="Não",H85,VLOOKUP(D85,'Inscrições'!D:G,4,FALSE))</f>
        <v>Dourados</v>
      </c>
      <c r="N85" s="5" t="str">
        <f>IF(E85="Sim",VLOOKUP(D85,'Inscrições'!D:H,5,FALSE),I85)</f>
        <v>CACS-FUNDEB</v>
      </c>
    </row>
    <row r="86" ht="22.5" customHeight="1">
      <c r="A86" s="11">
        <v>45749.54447306713</v>
      </c>
      <c r="B86" s="12" t="s">
        <v>305</v>
      </c>
      <c r="C86" s="12" t="s">
        <v>306</v>
      </c>
      <c r="D86" s="12" t="s">
        <v>307</v>
      </c>
      <c r="E86" s="12" t="s">
        <v>30</v>
      </c>
      <c r="M86" s="16" t="str">
        <f>IF(E86="Não",H86,VLOOKUP(D86,'Inscrições'!D:G,4,FALSE))</f>
        <v>Amambai</v>
      </c>
      <c r="N86" s="5" t="str">
        <f>IF(E86="Sim",VLOOKUP(D86,'Inscrições'!D:H,5,FALSE),I86)</f>
        <v>CACS-FUNDEB</v>
      </c>
    </row>
    <row r="87" ht="22.5" customHeight="1">
      <c r="A87" s="11">
        <v>45750.396746342594</v>
      </c>
      <c r="B87" s="12" t="s">
        <v>298</v>
      </c>
      <c r="C87" s="12" t="s">
        <v>632</v>
      </c>
      <c r="D87" s="12" t="s">
        <v>300</v>
      </c>
      <c r="E87" s="12" t="s">
        <v>30</v>
      </c>
      <c r="M87" s="16" t="str">
        <f>IF(E87="Não",H87,VLOOKUP(D87,'Inscrições'!D:G,4,FALSE))</f>
        <v>Maracaju</v>
      </c>
      <c r="N87" s="5" t="str">
        <f>IF(E87="Sim",VLOOKUP(D87,'Inscrições'!D:H,5,FALSE),I87)</f>
        <v>CACS-FUNDEB</v>
      </c>
    </row>
    <row r="88" ht="22.5" hidden="1" customHeight="1">
      <c r="A88" s="18">
        <v>45749.39977505787</v>
      </c>
      <c r="B88" s="19" t="s">
        <v>208</v>
      </c>
      <c r="C88" s="19" t="s">
        <v>209</v>
      </c>
      <c r="D88" s="19" t="s">
        <v>210</v>
      </c>
      <c r="E88" s="19" t="s">
        <v>30</v>
      </c>
      <c r="F88" s="5"/>
      <c r="G88" s="5"/>
      <c r="H88" s="5"/>
      <c r="I88" s="5"/>
      <c r="J88" s="5"/>
      <c r="K88" s="5"/>
      <c r="L88" s="5"/>
      <c r="M88" s="5" t="str">
        <f>IF(E88="Não",H88,VLOOKUP(D88,'Inscrições'!D:G,4,FALSE))</f>
        <v>Caarapó</v>
      </c>
      <c r="N88" s="5" t="str">
        <f>IF(E88="Sim",VLOOKUP(D88,'Inscrições'!D:H,5,FALSE),I88)</f>
        <v>CACS-FUNDEB</v>
      </c>
    </row>
    <row r="89" ht="22.5" hidden="1" customHeight="1">
      <c r="A89" s="11">
        <v>45750.39882890046</v>
      </c>
      <c r="B89" s="12" t="s">
        <v>125</v>
      </c>
      <c r="C89" s="12" t="s">
        <v>126</v>
      </c>
      <c r="D89" s="12" t="s">
        <v>127</v>
      </c>
      <c r="E89" s="12" t="s">
        <v>30</v>
      </c>
      <c r="M89" s="16" t="str">
        <f>IF(E89="Não",H89,VLOOKUP(D89,'Inscrições'!D:G,4,FALSE))</f>
        <v>Nova Andradina</v>
      </c>
      <c r="N89" s="5" t="str">
        <f>IF(E89="Sim",VLOOKUP(D89,'Inscrições'!D:H,5,FALSE),I89)</f>
        <v>Gestão municipal</v>
      </c>
    </row>
    <row r="90" ht="22.5" customHeight="1">
      <c r="A90" s="11">
        <v>45749.438498125004</v>
      </c>
      <c r="B90" s="12" t="s">
        <v>517</v>
      </c>
      <c r="C90" s="12" t="s">
        <v>518</v>
      </c>
      <c r="D90" s="12" t="s">
        <v>519</v>
      </c>
      <c r="E90" s="12" t="s">
        <v>30</v>
      </c>
      <c r="M90" s="5" t="str">
        <f>IF(E90="Não",H90,VLOOKUP(D90,'Inscrições'!D:G,4,FALSE))</f>
        <v>Cassilândia</v>
      </c>
      <c r="N90" s="5" t="str">
        <f>IF(E90="Sim",VLOOKUP(D90,'Inscrições'!D:H,5,FALSE),I90)</f>
        <v>Gestão municipal</v>
      </c>
    </row>
    <row r="91" ht="22.5" customHeight="1">
      <c r="A91" s="11">
        <v>45750.39362101852</v>
      </c>
      <c r="B91" s="12" t="s">
        <v>517</v>
      </c>
      <c r="C91" s="12" t="s">
        <v>518</v>
      </c>
      <c r="D91" s="12" t="s">
        <v>519</v>
      </c>
      <c r="E91" s="12" t="s">
        <v>30</v>
      </c>
      <c r="M91" s="16" t="str">
        <f>IF(E91="Não",H91,VLOOKUP(D91,'Inscrições'!D:G,4,FALSE))</f>
        <v>Cassilândia</v>
      </c>
      <c r="N91" s="5" t="str">
        <f>IF(E91="Sim",VLOOKUP(D91,'Inscrições'!D:H,5,FALSE),I91)</f>
        <v>Gestão municipal</v>
      </c>
    </row>
    <row r="92" ht="22.5" customHeight="1">
      <c r="A92" s="18">
        <v>45749.40011267361</v>
      </c>
      <c r="B92" s="19" t="s">
        <v>406</v>
      </c>
      <c r="C92" s="19" t="s">
        <v>633</v>
      </c>
      <c r="D92" s="19" t="s">
        <v>408</v>
      </c>
      <c r="E92" s="19" t="s">
        <v>30</v>
      </c>
      <c r="F92" s="5"/>
      <c r="G92" s="5"/>
      <c r="H92" s="5"/>
      <c r="I92" s="5"/>
      <c r="J92" s="5"/>
      <c r="K92" s="5"/>
      <c r="L92" s="5"/>
      <c r="M92" s="5" t="str">
        <f>IF(E92="Não",H92,VLOOKUP(D92,'Inscrições'!D:G,4,FALSE))</f>
        <v>Caarapó</v>
      </c>
      <c r="N92" s="5" t="str">
        <f>IF(E92="Sim",VLOOKUP(D92,'Inscrições'!D:H,5,FALSE),I92)</f>
        <v>Gestão municipal</v>
      </c>
    </row>
    <row r="93" ht="22.5" customHeight="1">
      <c r="A93" s="11">
        <v>45750.398099247686</v>
      </c>
      <c r="B93" s="12" t="s">
        <v>507</v>
      </c>
      <c r="C93" s="12" t="s">
        <v>508</v>
      </c>
      <c r="D93" s="12" t="s">
        <v>509</v>
      </c>
      <c r="E93" s="12" t="s">
        <v>30</v>
      </c>
      <c r="M93" s="16" t="str">
        <f>IF(E93="Não",H93,VLOOKUP(D93,'Inscrições'!D:G,4,FALSE))</f>
        <v>Naviraí</v>
      </c>
      <c r="N93" s="5" t="str">
        <f>IF(E93="Sim",VLOOKUP(D93,'Inscrições'!D:H,5,FALSE),I93)</f>
        <v>CACS-FUNDEB</v>
      </c>
    </row>
    <row r="94" ht="22.5" hidden="1" customHeight="1">
      <c r="A94" s="11">
        <v>45750.40111752315</v>
      </c>
      <c r="B94" s="12" t="s">
        <v>151</v>
      </c>
      <c r="C94" s="12" t="s">
        <v>152</v>
      </c>
      <c r="D94" s="12" t="s">
        <v>154</v>
      </c>
      <c r="E94" s="12" t="s">
        <v>30</v>
      </c>
      <c r="M94" s="16" t="str">
        <f>IF(E94="Não",H94,VLOOKUP(D94,'Inscrições'!D:G,4,FALSE))</f>
        <v>Nova Andradina</v>
      </c>
      <c r="N94" s="5" t="str">
        <f>IF(E94="Sim",VLOOKUP(D94,'Inscrições'!D:H,5,FALSE),I94)</f>
        <v>CACS-FUNDEB</v>
      </c>
    </row>
    <row r="95" ht="22.5" customHeight="1">
      <c r="A95" s="11">
        <v>45750.40181380787</v>
      </c>
      <c r="B95" s="12" t="s">
        <v>276</v>
      </c>
      <c r="C95" s="12" t="s">
        <v>278</v>
      </c>
      <c r="D95" s="12" t="s">
        <v>280</v>
      </c>
      <c r="E95" s="12" t="s">
        <v>30</v>
      </c>
      <c r="M95" s="16" t="str">
        <f>IF(E95="Não",H95,VLOOKUP(D95,'Inscrições'!D:G,4,FALSE))</f>
        <v>Nova Andradina</v>
      </c>
      <c r="N95" s="5" t="str">
        <f>IF(E95="Sim",VLOOKUP(D95,'Inscrições'!D:H,5,FALSE),I95)</f>
        <v>CACS-FUNDEB</v>
      </c>
    </row>
    <row r="96" ht="22.5" customHeight="1">
      <c r="A96" s="11">
        <v>45750.412661724535</v>
      </c>
      <c r="B96" s="12" t="s">
        <v>634</v>
      </c>
      <c r="C96" s="12" t="s">
        <v>635</v>
      </c>
      <c r="D96" s="12" t="s">
        <v>348</v>
      </c>
      <c r="E96" s="12" t="s">
        <v>30</v>
      </c>
      <c r="M96" s="16" t="str">
        <f>IF(E96="Não",H96,VLOOKUP(D96,'Inscrições'!D:G,4,FALSE))</f>
        <v>Juti</v>
      </c>
      <c r="N96" s="5" t="str">
        <f>IF(E96="Sim",VLOOKUP(D96,'Inscrições'!D:H,5,FALSE),I96)</f>
        <v>Gestão municipal</v>
      </c>
    </row>
    <row r="97" ht="22.5" customHeight="1">
      <c r="A97" s="11">
        <v>45749.46413666666</v>
      </c>
      <c r="B97" s="12" t="s">
        <v>538</v>
      </c>
      <c r="C97" s="12" t="s">
        <v>539</v>
      </c>
      <c r="D97" s="12" t="s">
        <v>540</v>
      </c>
      <c r="E97" s="12" t="s">
        <v>30</v>
      </c>
      <c r="M97" s="5" t="str">
        <f>IF(E97="Não",H97,VLOOKUP(D97,'Inscrições'!D:G,4,FALSE))</f>
        <v>Aral Moreira</v>
      </c>
      <c r="N97" s="5" t="str">
        <f>IF(E97="Sim",VLOOKUP(D97,'Inscrições'!D:H,5,FALSE),I97)</f>
        <v>Gestão municipal</v>
      </c>
    </row>
    <row r="98" ht="22.5" customHeight="1">
      <c r="A98" s="11">
        <v>45749.69258537037</v>
      </c>
      <c r="B98" s="12" t="s">
        <v>538</v>
      </c>
      <c r="C98" s="12" t="s">
        <v>539</v>
      </c>
      <c r="D98" s="12" t="s">
        <v>540</v>
      </c>
      <c r="E98" s="12" t="s">
        <v>30</v>
      </c>
      <c r="M98" s="16" t="str">
        <f>IF(E98="Não",H98,VLOOKUP(D98,'Inscrições'!D:G,4,FALSE))</f>
        <v>Aral Moreira</v>
      </c>
      <c r="N98" s="5" t="str">
        <f>IF(E98="Sim",VLOOKUP(D98,'Inscrições'!D:H,5,FALSE),I98)</f>
        <v>Gestão municipal</v>
      </c>
    </row>
    <row r="99" ht="22.5" customHeight="1">
      <c r="A99" s="11">
        <v>45750.39965071759</v>
      </c>
      <c r="B99" s="12" t="s">
        <v>576</v>
      </c>
      <c r="C99" s="12" t="s">
        <v>636</v>
      </c>
      <c r="D99" s="12" t="s">
        <v>580</v>
      </c>
      <c r="E99" s="12" t="s">
        <v>30</v>
      </c>
      <c r="M99" s="16" t="str">
        <f>IF(E99="Não",H99,VLOOKUP(D99,'Inscrições'!D:G,4,FALSE))</f>
        <v>Ponta Porã</v>
      </c>
      <c r="N99" s="5" t="str">
        <f>IF(E99="Sim",VLOOKUP(D99,'Inscrições'!D:H,5,FALSE),I99)</f>
        <v>CACS-FUNDEB</v>
      </c>
    </row>
    <row r="100" ht="22.5" customHeight="1">
      <c r="A100" s="11">
        <v>45750.54205853009</v>
      </c>
      <c r="B100" s="12" t="s">
        <v>283</v>
      </c>
      <c r="C100" s="12" t="s">
        <v>637</v>
      </c>
      <c r="D100" s="12" t="s">
        <v>288</v>
      </c>
      <c r="E100" s="12" t="s">
        <v>30</v>
      </c>
      <c r="M100" s="16" t="str">
        <f>IF(E100="Não",H100,VLOOKUP(D100,'Inscrições'!D:G,4,FALSE))</f>
        <v>Novo Horizonte do Sul</v>
      </c>
      <c r="N100" s="16" t="str">
        <f>IF(E100="Sim",VLOOKUP(D100,'Inscrições'!D:H,5,FALSE),I100)</f>
        <v>CACS-FUNDEB</v>
      </c>
    </row>
    <row r="101" ht="22.5" customHeight="1">
      <c r="A101" s="11">
        <v>45750.39895590278</v>
      </c>
      <c r="B101" s="12" t="s">
        <v>138</v>
      </c>
      <c r="C101" s="12" t="s">
        <v>139</v>
      </c>
      <c r="D101" s="12" t="s">
        <v>140</v>
      </c>
      <c r="E101" s="12" t="s">
        <v>30</v>
      </c>
      <c r="M101" s="16" t="str">
        <f>IF(E101="Não",H101,VLOOKUP(D101,'Inscrições'!D:G,4,FALSE))</f>
        <v>Naviraí</v>
      </c>
      <c r="N101" s="5" t="str">
        <f>IF(E101="Sim",VLOOKUP(D101,'Inscrições'!D:H,5,FALSE),I101)</f>
        <v>Gestão municipal</v>
      </c>
    </row>
    <row r="102" ht="22.5" customHeight="1">
      <c r="A102" s="11">
        <v>45750.54505862268</v>
      </c>
      <c r="B102" s="12" t="s">
        <v>226</v>
      </c>
      <c r="C102" s="12" t="s">
        <v>638</v>
      </c>
      <c r="D102" s="12" t="s">
        <v>639</v>
      </c>
      <c r="E102" s="12" t="s">
        <v>90</v>
      </c>
      <c r="F102" s="21">
        <v>28811.0</v>
      </c>
      <c r="G102" s="12" t="s">
        <v>640</v>
      </c>
      <c r="H102" s="12" t="s">
        <v>96</v>
      </c>
      <c r="I102" s="12" t="s">
        <v>14</v>
      </c>
      <c r="J102" s="12" t="s">
        <v>641</v>
      </c>
      <c r="M102" s="16" t="str">
        <f>IF(E102="Não",H102,VLOOKUP(D102,'Inscrições'!D:G,4,FALSE))</f>
        <v>Novo Horizonte do Sul</v>
      </c>
      <c r="N102" s="16" t="str">
        <f>IF(E102="Sim",VLOOKUP(D102,'Inscrições'!D:H,5,FALSE),I102)</f>
        <v>Gestão municipal</v>
      </c>
    </row>
    <row r="103" ht="22.5" customHeight="1">
      <c r="A103" s="11">
        <v>45749.4209621412</v>
      </c>
      <c r="B103" s="12" t="s">
        <v>642</v>
      </c>
      <c r="C103" s="12" t="s">
        <v>643</v>
      </c>
      <c r="D103" s="12" t="s">
        <v>644</v>
      </c>
      <c r="E103" s="12" t="s">
        <v>90</v>
      </c>
      <c r="F103" s="21">
        <v>30211.0</v>
      </c>
      <c r="G103" s="12" t="s">
        <v>645</v>
      </c>
      <c r="H103" s="12" t="s">
        <v>115</v>
      </c>
      <c r="I103" s="12" t="s">
        <v>14</v>
      </c>
      <c r="J103" s="12" t="s">
        <v>646</v>
      </c>
      <c r="K103" s="12" t="s">
        <v>647</v>
      </c>
      <c r="M103" s="5" t="str">
        <f>IF(E103="Não",H103,VLOOKUP(D103,'Inscrições'!D:G,4,FALSE))</f>
        <v>Paraíso das Águas</v>
      </c>
      <c r="N103" s="5" t="str">
        <f>IF(E103="Sim",VLOOKUP(D103,'Inscrições'!D:H,5,FALSE),I103)</f>
        <v>Gestão municipal</v>
      </c>
    </row>
    <row r="104" ht="22.5" customHeight="1">
      <c r="A104" s="18">
        <v>45749.4056534375</v>
      </c>
      <c r="B104" s="19" t="s">
        <v>648</v>
      </c>
      <c r="C104" s="19" t="s">
        <v>459</v>
      </c>
      <c r="D104" s="19" t="s">
        <v>460</v>
      </c>
      <c r="E104" s="19" t="s">
        <v>30</v>
      </c>
      <c r="F104" s="5"/>
      <c r="G104" s="5"/>
      <c r="H104" s="5"/>
      <c r="I104" s="5"/>
      <c r="J104" s="5"/>
      <c r="K104" s="5"/>
      <c r="L104" s="5"/>
      <c r="M104" s="5" t="str">
        <f>IF(E104="Não",H104,VLOOKUP(D104,'Inscrições'!D:G,4,FALSE))</f>
        <v>Amambai</v>
      </c>
      <c r="N104" s="5" t="str">
        <f>IF(E104="Sim",VLOOKUP(D104,'Inscrições'!D:H,5,FALSE),I104)</f>
        <v>CACS-FUNDEB</v>
      </c>
    </row>
    <row r="105" ht="22.5" customHeight="1">
      <c r="A105" s="18">
        <v>45749.40850910879</v>
      </c>
      <c r="B105" s="19" t="s">
        <v>648</v>
      </c>
      <c r="C105" s="19" t="s">
        <v>459</v>
      </c>
      <c r="D105" s="19" t="s">
        <v>460</v>
      </c>
      <c r="E105" s="19" t="s">
        <v>30</v>
      </c>
      <c r="F105" s="5"/>
      <c r="G105" s="5"/>
      <c r="H105" s="5"/>
      <c r="I105" s="5"/>
      <c r="J105" s="5"/>
      <c r="K105" s="5"/>
      <c r="L105" s="5"/>
      <c r="M105" s="5" t="str">
        <f>IF(E105="Não",H105,VLOOKUP(D105,'Inscrições'!D:G,4,FALSE))</f>
        <v>Amambai</v>
      </c>
      <c r="N105" s="5" t="str">
        <f>IF(E105="Sim",VLOOKUP(D105,'Inscrições'!D:H,5,FALSE),I105)</f>
        <v>CACS-FUNDEB</v>
      </c>
    </row>
    <row r="106" ht="22.5" customHeight="1">
      <c r="A106" s="18">
        <v>45749.4000140625</v>
      </c>
      <c r="B106" s="19" t="s">
        <v>463</v>
      </c>
      <c r="C106" s="19" t="s">
        <v>464</v>
      </c>
      <c r="D106" s="19" t="s">
        <v>465</v>
      </c>
      <c r="E106" s="19" t="s">
        <v>30</v>
      </c>
      <c r="F106" s="5"/>
      <c r="G106" s="5"/>
      <c r="H106" s="5"/>
      <c r="I106" s="5"/>
      <c r="J106" s="5"/>
      <c r="K106" s="5"/>
      <c r="L106" s="5"/>
      <c r="M106" s="5" t="str">
        <f>IF(E106="Não",H106,VLOOKUP(D106,'Inscrições'!D:G,4,FALSE))</f>
        <v>Deodápolis</v>
      </c>
      <c r="N106" s="5" t="str">
        <f>IF(E106="Sim",VLOOKUP(D106,'Inscrições'!D:H,5,FALSE),I106)</f>
        <v>Gestão municipal</v>
      </c>
    </row>
    <row r="107" ht="22.5" customHeight="1">
      <c r="A107" s="11">
        <v>45750.54045702546</v>
      </c>
      <c r="B107" s="12" t="s">
        <v>649</v>
      </c>
      <c r="C107" s="12" t="s">
        <v>650</v>
      </c>
      <c r="D107" s="12" t="s">
        <v>651</v>
      </c>
      <c r="E107" s="12" t="s">
        <v>30</v>
      </c>
      <c r="M107" s="16" t="str">
        <f>IF(E107="Não",H107,VLOOKUP(D107,'Inscrições'!D:G,4,FALSE))</f>
        <v>#N/A</v>
      </c>
      <c r="N107" s="16" t="str">
        <f>IF(E107="Sim",VLOOKUP(D107,'Inscrições'!D:H,5,FALSE),I107)</f>
        <v>#N/A</v>
      </c>
    </row>
  </sheetData>
  <drawing r:id="rId1"/>
  <tableParts count="1">
    <tablePart r:id="rId3"/>
  </tableParts>
</worksheet>
</file>