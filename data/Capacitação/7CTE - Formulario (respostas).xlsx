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  <sheet state="visible" name="Controle" sheetId="2" r:id="rId6"/>
  </sheets>
  <definedNames>
    <definedName hidden="1" localSheetId="0" name="_xlnm._FilterDatabase">'Respostas ao formulário 1'!$A$1:$K$25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3">
      <text>
        <t xml:space="preserve">O respondente atualizou este valor.</t>
      </text>
    </comment>
  </commentList>
</comments>
</file>

<file path=xl/sharedStrings.xml><?xml version="1.0" encoding="utf-8"?>
<sst xmlns="http://schemas.openxmlformats.org/spreadsheetml/2006/main" count="206" uniqueCount="155">
  <si>
    <t>CDM</t>
  </si>
  <si>
    <t>NOME</t>
  </si>
  <si>
    <t>DIST(km)</t>
  </si>
  <si>
    <t>CACS-FUNDEB</t>
  </si>
  <si>
    <t>Gestão municipal</t>
  </si>
  <si>
    <t>Anastácio</t>
  </si>
  <si>
    <t>Carimbo de data/hora</t>
  </si>
  <si>
    <t>Antônio João</t>
  </si>
  <si>
    <t>Endereço de e-mail</t>
  </si>
  <si>
    <t>Nome Completo:</t>
  </si>
  <si>
    <t>CPF</t>
  </si>
  <si>
    <t>Data de Nascimento</t>
  </si>
  <si>
    <r>
      <rPr>
        <rFont val="Arial"/>
        <b/>
        <color theme="1"/>
      </rPr>
      <t xml:space="preserve">Telefone </t>
    </r>
    <r>
      <rPr>
        <rFont val="Arial"/>
        <color theme="1"/>
      </rPr>
      <t>(XX)XXXXX-XXXX</t>
    </r>
  </si>
  <si>
    <t>Município que representa:</t>
  </si>
  <si>
    <t>Você faz parte do:</t>
  </si>
  <si>
    <t>Aquidauana</t>
  </si>
  <si>
    <t>Que cargo você ocupa na gestão municipal?</t>
  </si>
  <si>
    <t>Prezado(a) Gestor(a), 
Se existe algum caso de sucesso da gestão do transporte escolar no seu município, gostaríamos conhecer mais um pouco ao respeito.
Por favor, relate de forma sucinta o caso de sucesso no espaço a seguir:</t>
  </si>
  <si>
    <t>Que cargo você ocupa no CACS-FUNDEB?</t>
  </si>
  <si>
    <t>educantoniojoao@gmail.com</t>
  </si>
  <si>
    <t>Giovani Leandro Vareiro</t>
  </si>
  <si>
    <t>037.879.321-78</t>
  </si>
  <si>
    <t>(67)99979-0728</t>
  </si>
  <si>
    <t>Cassilândia</t>
  </si>
  <si>
    <t xml:space="preserve">Técnico da secretaria de educação </t>
  </si>
  <si>
    <t>wandersonspindula@hotmail.com</t>
  </si>
  <si>
    <t>Wanderson Spindula</t>
  </si>
  <si>
    <t>832.050.551-87</t>
  </si>
  <si>
    <t>(67)99647-1349</t>
  </si>
  <si>
    <t>Bela Vista</t>
  </si>
  <si>
    <t>Assistente Administrativo</t>
  </si>
  <si>
    <t>marasheila.santosms@gmail.com</t>
  </si>
  <si>
    <t xml:space="preserve">Sheila Mara Nunes Dos Santos </t>
  </si>
  <si>
    <t>710.831.621-87</t>
  </si>
  <si>
    <t>(67)98481-9700</t>
  </si>
  <si>
    <t>Conselhereira</t>
  </si>
  <si>
    <t>jessicarj1988rios@gmail.com</t>
  </si>
  <si>
    <t>Jéssica Rios Rojas</t>
  </si>
  <si>
    <t>050.003.451-69</t>
  </si>
  <si>
    <t>(67)99862-4500</t>
  </si>
  <si>
    <t>Bodoquena</t>
  </si>
  <si>
    <t>Coordenadora de Transportes Escolar</t>
  </si>
  <si>
    <t>.</t>
  </si>
  <si>
    <t>eravanelle@gmail.com</t>
  </si>
  <si>
    <t xml:space="preserve">Eraldo Juarez de Souza </t>
  </si>
  <si>
    <t>312.015.551-91</t>
  </si>
  <si>
    <t>(67)99971-6292</t>
  </si>
  <si>
    <t>Presidente do Conselho</t>
  </si>
  <si>
    <t>Bonito</t>
  </si>
  <si>
    <t>vanilso.scardin26@gmail.com</t>
  </si>
  <si>
    <t>Vanilso Scardin</t>
  </si>
  <si>
    <t>995.645.051-00</t>
  </si>
  <si>
    <t>(67)99676-1498</t>
  </si>
  <si>
    <t>Caracol</t>
  </si>
  <si>
    <t xml:space="preserve">Conselheiro </t>
  </si>
  <si>
    <t>arlete.garrido044@hotmail.com</t>
  </si>
  <si>
    <t>Arlete Alves de Almeida</t>
  </si>
  <si>
    <t>608.476.461-49</t>
  </si>
  <si>
    <t>(67)99987-1497</t>
  </si>
  <si>
    <t>Secretária Executiva da Educação/Transporte Escolar</t>
  </si>
  <si>
    <t>marciocarlosbarbosa@gmail.com</t>
  </si>
  <si>
    <t>Marcio Carlos Barbosa</t>
  </si>
  <si>
    <t>833.360.281-91</t>
  </si>
  <si>
    <t>Guia Lopes da Laguna</t>
  </si>
  <si>
    <t>(67)99932-8755</t>
  </si>
  <si>
    <t>Gerente de Divisão de Transporte Escolar</t>
  </si>
  <si>
    <t>franzwillians@gmail.com</t>
  </si>
  <si>
    <t>FRANZ WILLIANS COIMBRA MARTINS</t>
  </si>
  <si>
    <t>851.073.361-91</t>
  </si>
  <si>
    <t>(67)99337-0272</t>
  </si>
  <si>
    <t>Jardim</t>
  </si>
  <si>
    <t>GERENTE DE FISCALIZAÇÃO DO TRANSPORTE ESCOLAR</t>
  </si>
  <si>
    <t>gawame@gmail.com</t>
  </si>
  <si>
    <t xml:space="preserve">Gabriel Wanderley de Mendonça </t>
  </si>
  <si>
    <t>000.596.861-54</t>
  </si>
  <si>
    <t>(67)98104-4997</t>
  </si>
  <si>
    <t>Miranda</t>
  </si>
  <si>
    <t>Assessor Escolar</t>
  </si>
  <si>
    <t>Sim, houve mudança com o Assessor do Transporte Esxolar.</t>
  </si>
  <si>
    <t>renata_m_freitas@hotmail.com</t>
  </si>
  <si>
    <t xml:space="preserve">Renata Martins de Freitas </t>
  </si>
  <si>
    <t>608.952.841-20</t>
  </si>
  <si>
    <t>(67)98127-6810</t>
  </si>
  <si>
    <t>Nioaque</t>
  </si>
  <si>
    <t>Assessora de gabinete</t>
  </si>
  <si>
    <t>romeugoulart@gmail.com</t>
  </si>
  <si>
    <t>Romeu Goulart da Silva</t>
  </si>
  <si>
    <t>312.097.501-04</t>
  </si>
  <si>
    <t>Porto Murtinho</t>
  </si>
  <si>
    <t>(67)98129-2310</t>
  </si>
  <si>
    <t>Escriturário</t>
  </si>
  <si>
    <t>sem comentários</t>
  </si>
  <si>
    <t>claudianaacosta@hotmail.com</t>
  </si>
  <si>
    <t>claudiana maciel acosta</t>
  </si>
  <si>
    <t>821.612.161-04</t>
  </si>
  <si>
    <t>(67)99632-1618</t>
  </si>
  <si>
    <t>CACS</t>
  </si>
  <si>
    <t>Diretora transporte escolar</t>
  </si>
  <si>
    <t>Municípios com representante inscrito</t>
  </si>
  <si>
    <t>vitorialanaycorrea@gmail.com</t>
  </si>
  <si>
    <t>Vitória Lanay Corrêa Arguelho</t>
  </si>
  <si>
    <t>076.481.931-32</t>
  </si>
  <si>
    <t>(67)98172-7537</t>
  </si>
  <si>
    <t xml:space="preserve">Assessor especial </t>
  </si>
  <si>
    <t>Pessoas Inscritas</t>
  </si>
  <si>
    <t>coordenacaopedagogica6ao9@hotmail.com</t>
  </si>
  <si>
    <t>ELIZANGELA CORREA ARRUDA DOS SANTOS</t>
  </si>
  <si>
    <t>928.427.041-34</t>
  </si>
  <si>
    <t>(67)99239-3021</t>
  </si>
  <si>
    <t>PRESIDENTE DO FUNDEB</t>
  </si>
  <si>
    <t>andreabertolamelo@gmail.com</t>
  </si>
  <si>
    <t>Andréa Melo Bertola</t>
  </si>
  <si>
    <t>932.776.791-87</t>
  </si>
  <si>
    <t>(67)99870-1341</t>
  </si>
  <si>
    <t>Diretor de Departamento Transporte Escolar</t>
  </si>
  <si>
    <t>cidafonseca_jardim@hotmail.com</t>
  </si>
  <si>
    <t>APARECIDA DE ARAUJO FONSECA MUNHOZ</t>
  </si>
  <si>
    <t>357.587.911-72</t>
  </si>
  <si>
    <t>(67)99619-0083</t>
  </si>
  <si>
    <t>DIRETORA DEPARTAMENTO DE CONVÊNIOS E COMPRAS</t>
  </si>
  <si>
    <t>educamir@gmail.com</t>
  </si>
  <si>
    <t>Tayna Duarte Oliveira Gloder</t>
  </si>
  <si>
    <t>019.426.871-33</t>
  </si>
  <si>
    <t>(67)99203-3075</t>
  </si>
  <si>
    <t>Prestação de Contas do Transporte Escolar</t>
  </si>
  <si>
    <t>Fernando Alves dos Santos</t>
  </si>
  <si>
    <t>003.855.311-25</t>
  </si>
  <si>
    <t>(67)99669-5191</t>
  </si>
  <si>
    <t>Coordenador de Frota do Transporte Escolar</t>
  </si>
  <si>
    <t>Adna Lima Nabor Biserra</t>
  </si>
  <si>
    <t>956.369.861-49</t>
  </si>
  <si>
    <t>(67)99672-3648</t>
  </si>
  <si>
    <t>Representante de pais de alunos da Educação Básica Pública</t>
  </si>
  <si>
    <t>fabiofonseca90@hotmail.com</t>
  </si>
  <si>
    <t xml:space="preserve">Fabio Fonseca </t>
  </si>
  <si>
    <t>901.399.681-72</t>
  </si>
  <si>
    <t>(67)99825-7335</t>
  </si>
  <si>
    <t xml:space="preserve">Coordenador de Transporte </t>
  </si>
  <si>
    <t xml:space="preserve">Rastreamento de veículos </t>
  </si>
  <si>
    <t>nelsoncasimiro@yahoo.com.br</t>
  </si>
  <si>
    <t>Nelson Aparecido Silva Casimiro</t>
  </si>
  <si>
    <t>935.138.791-72</t>
  </si>
  <si>
    <t>(67)99857-0036</t>
  </si>
  <si>
    <t>Secretário</t>
  </si>
  <si>
    <t>amarilha2078@gmail.com</t>
  </si>
  <si>
    <t>Odenir Amarilha Rodrigues</t>
  </si>
  <si>
    <t>843.649.551-91</t>
  </si>
  <si>
    <t>(67)99808-5232</t>
  </si>
  <si>
    <t>Presidente</t>
  </si>
  <si>
    <t>marcio.ciomar45@gmail.com</t>
  </si>
  <si>
    <t xml:space="preserve">Márcio de Souza </t>
  </si>
  <si>
    <t>562.422.391-91</t>
  </si>
  <si>
    <t>(67)99676-6118</t>
  </si>
  <si>
    <t xml:space="preserve">Gerente de transporte escolar </t>
  </si>
  <si>
    <t>Resolvermos os problemas de forma ágil!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</si>
</sst>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8">
    <font>
      <sz val="10.0"/>
      <color rgb="FF000000"/>
      <name val="Arial"/>
      <scheme val="minor"/>
    </font>
    <font>
      <color rgb="FFFFFFFF"/>
      <name val="Arial"/>
    </font>
    <font>
      <color theme="1"/>
      <name val="Arial"/>
    </font>
    <font>
      <b/>
      <color rgb="FFFF0000"/>
      <name val="Arial"/>
    </font>
    <font>
      <color theme="1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ill="1" applyFont="1">
      <alignment readingOrder="0" vertical="bottom"/>
    </xf>
    <xf borderId="1" fillId="0" fontId="3" numFmtId="0" xfId="0" applyAlignment="1" applyBorder="1" applyFont="1">
      <alignment horizontal="center" vertical="bottom"/>
    </xf>
    <xf borderId="0" fillId="0" fontId="4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4" xfId="0" applyAlignment="1" applyFont="1" applyNumberForma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14" xfId="0" applyAlignment="1" applyFont="1" applyNumberForma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2" fillId="4" fontId="6" numFmtId="0" xfId="0" applyAlignment="1" applyBorder="1" applyFill="1" applyFont="1">
      <alignment horizontal="right" vertical="bottom"/>
    </xf>
    <xf borderId="3" fillId="0" fontId="7" numFmtId="0" xfId="0" applyBorder="1" applyFont="1"/>
    <xf borderId="4" fillId="0" fontId="7" numFmtId="0" xfId="0" applyBorder="1" applyFont="1"/>
    <xf borderId="1" fillId="4" fontId="2" numFmtId="0" xfId="0" applyAlignment="1" applyBorder="1" applyFill="1" applyFont="1">
      <alignment horizontal="center"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>
        <color rgb="FF000000"/>
      </font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25" displayName="Form_Responses1" name="Form_Responses1" id="1">
  <autoFilter ref="$A$1:$K$25">
    <filterColumn colId="7">
      <filters>
        <filter val="Gestão municipal"/>
      </filters>
    </filterColumn>
  </autoFilter>
  <tableColumns count="11">
    <tableColumn name="Carimbo de data/hora" id="1"/>
    <tableColumn name="Endereço de e-mail" id="2"/>
    <tableColumn name="Nome Completo:" id="3"/>
    <tableColumn name="CPF" id="4"/>
    <tableColumn name="Data de Nascimento" id="5"/>
    <tableColumn name="Telefone (XX)XXXXX-XXXX" id="6"/>
    <tableColumn name="Município que representa:" id="7"/>
    <tableColumn name="Você faz parte do:" id="8"/>
    <tableColumn name="Que cargo você ocupa na gestão municipal?" id="9"/>
    <tableColumn name="Prezado(a) Gestor(a), _x000a__x000a_Se existe algum caso de sucesso da gestão do transporte escolar no seu município, gostaríamos conhecer mais um pouco ao respeito._x000a__x000a_Por favor, relate de forma sucinta o caso de sucesso no espaço a seguir:" id="10"/>
    <tableColumn name="Que cargo você ocupa no CACS-FUNDEB?" id="11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3" width="30.63"/>
    <col customWidth="1" min="4" max="4" width="18.88"/>
    <col customWidth="1" min="5" max="5" width="20.13"/>
    <col customWidth="1" min="6" max="6" width="24.88"/>
    <col customWidth="1" min="7" max="7" width="24.13"/>
    <col customWidth="1" min="8" max="8" width="18.88"/>
    <col customWidth="1" min="9" max="9" width="37.25"/>
    <col customWidth="1" min="10" max="10" width="37.63"/>
    <col customWidth="1" min="11" max="11" width="35.63"/>
    <col customWidth="1" min="12" max="17" width="18.88"/>
  </cols>
  <sheetData>
    <row r="1" ht="22.5" customHeight="1">
      <c r="A1" s="8" t="s">
        <v>6</v>
      </c>
      <c r="B1" s="8" t="s">
        <v>8</v>
      </c>
      <c r="C1" s="9" t="s">
        <v>9</v>
      </c>
      <c r="D1" s="9" t="s">
        <v>10</v>
      </c>
      <c r="E1" s="9" t="s">
        <v>11</v>
      </c>
      <c r="F1" s="10" t="s">
        <v>12</v>
      </c>
      <c r="G1" s="9" t="s">
        <v>13</v>
      </c>
      <c r="H1" s="9" t="s">
        <v>14</v>
      </c>
      <c r="I1" s="9" t="s">
        <v>16</v>
      </c>
      <c r="J1" s="8" t="s">
        <v>17</v>
      </c>
      <c r="K1" s="9" t="s">
        <v>18</v>
      </c>
    </row>
    <row r="2" ht="22.5" customHeight="1">
      <c r="A2" s="11">
        <v>45804.60605753472</v>
      </c>
      <c r="B2" s="12" t="s">
        <v>19</v>
      </c>
      <c r="C2" s="12" t="s">
        <v>20</v>
      </c>
      <c r="D2" s="12" t="s">
        <v>21</v>
      </c>
      <c r="E2" s="13">
        <v>36609.0</v>
      </c>
      <c r="F2" s="12" t="s">
        <v>22</v>
      </c>
      <c r="G2" s="12" t="s">
        <v>7</v>
      </c>
      <c r="H2" s="12" t="s">
        <v>4</v>
      </c>
      <c r="I2" s="12" t="s">
        <v>24</v>
      </c>
    </row>
    <row r="3" ht="22.5" customHeight="1">
      <c r="A3" s="11">
        <v>45805.44620855324</v>
      </c>
      <c r="B3" s="12" t="s">
        <v>25</v>
      </c>
      <c r="C3" s="12" t="s">
        <v>26</v>
      </c>
      <c r="D3" s="12" t="s">
        <v>27</v>
      </c>
      <c r="E3" s="13">
        <v>28554.0</v>
      </c>
      <c r="F3" s="12" t="s">
        <v>28</v>
      </c>
      <c r="G3" s="12" t="s">
        <v>29</v>
      </c>
      <c r="H3" s="12" t="s">
        <v>4</v>
      </c>
      <c r="I3" s="12" t="s">
        <v>30</v>
      </c>
    </row>
    <row r="4" ht="22.5" hidden="1" customHeight="1">
      <c r="A4" s="11">
        <v>45800.69512107639</v>
      </c>
      <c r="B4" s="12" t="s">
        <v>31</v>
      </c>
      <c r="C4" s="12" t="s">
        <v>32</v>
      </c>
      <c r="D4" s="12" t="s">
        <v>33</v>
      </c>
      <c r="E4" s="13">
        <v>28809.0</v>
      </c>
      <c r="F4" s="12" t="s">
        <v>34</v>
      </c>
      <c r="G4" s="12" t="s">
        <v>29</v>
      </c>
      <c r="H4" s="12" t="s">
        <v>3</v>
      </c>
      <c r="K4" s="12" t="s">
        <v>35</v>
      </c>
    </row>
    <row r="5" ht="22.5" customHeight="1">
      <c r="A5" s="11">
        <v>45806.72530662037</v>
      </c>
      <c r="B5" s="12" t="s">
        <v>36</v>
      </c>
      <c r="C5" s="12" t="s">
        <v>37</v>
      </c>
      <c r="D5" s="12" t="s">
        <v>38</v>
      </c>
      <c r="E5" s="13">
        <v>32809.0</v>
      </c>
      <c r="F5" s="12" t="s">
        <v>39</v>
      </c>
      <c r="G5" s="12" t="s">
        <v>29</v>
      </c>
      <c r="H5" s="12" t="s">
        <v>4</v>
      </c>
      <c r="I5" s="12" t="s">
        <v>41</v>
      </c>
      <c r="J5" s="12" t="s">
        <v>42</v>
      </c>
    </row>
    <row r="6" ht="22.5" hidden="1" customHeight="1">
      <c r="A6" s="11">
        <v>45798.78384795139</v>
      </c>
      <c r="B6" s="12" t="s">
        <v>43</v>
      </c>
      <c r="C6" s="12" t="s">
        <v>44</v>
      </c>
      <c r="D6" s="12" t="s">
        <v>45</v>
      </c>
      <c r="E6" s="13">
        <v>23409.0</v>
      </c>
      <c r="F6" s="12" t="s">
        <v>46</v>
      </c>
      <c r="G6" s="12" t="s">
        <v>40</v>
      </c>
      <c r="H6" s="12" t="s">
        <v>3</v>
      </c>
      <c r="K6" s="12" t="s">
        <v>47</v>
      </c>
    </row>
    <row r="7" ht="22.5" hidden="1" customHeight="1">
      <c r="A7" s="11">
        <v>45804.468314004625</v>
      </c>
      <c r="B7" s="12" t="s">
        <v>49</v>
      </c>
      <c r="C7" s="12" t="s">
        <v>50</v>
      </c>
      <c r="D7" s="12" t="s">
        <v>51</v>
      </c>
      <c r="E7" s="13">
        <v>30738.0</v>
      </c>
      <c r="F7" s="12" t="s">
        <v>52</v>
      </c>
      <c r="G7" s="12" t="s">
        <v>40</v>
      </c>
      <c r="H7" s="12" t="s">
        <v>3</v>
      </c>
      <c r="K7" s="12" t="s">
        <v>54</v>
      </c>
    </row>
    <row r="8" ht="22.5" customHeight="1">
      <c r="A8" s="11">
        <v>45804.6055615625</v>
      </c>
      <c r="B8" s="12" t="s">
        <v>55</v>
      </c>
      <c r="C8" s="12" t="s">
        <v>56</v>
      </c>
      <c r="D8" s="12" t="s">
        <v>57</v>
      </c>
      <c r="E8" s="13">
        <v>26326.0</v>
      </c>
      <c r="F8" s="12" t="s">
        <v>58</v>
      </c>
      <c r="G8" s="12" t="s">
        <v>40</v>
      </c>
      <c r="H8" s="12" t="s">
        <v>4</v>
      </c>
      <c r="I8" s="12" t="s">
        <v>59</v>
      </c>
    </row>
    <row r="9" ht="22.5" customHeight="1">
      <c r="A9" s="11">
        <v>45805.501712094905</v>
      </c>
      <c r="B9" s="12" t="s">
        <v>60</v>
      </c>
      <c r="C9" s="12" t="s">
        <v>61</v>
      </c>
      <c r="D9" s="12" t="s">
        <v>62</v>
      </c>
      <c r="E9" s="13">
        <v>28422.0</v>
      </c>
      <c r="F9" s="12" t="s">
        <v>64</v>
      </c>
      <c r="G9" s="12" t="s">
        <v>40</v>
      </c>
      <c r="H9" s="12" t="s">
        <v>4</v>
      </c>
      <c r="I9" s="12" t="s">
        <v>65</v>
      </c>
    </row>
    <row r="10" ht="22.5" customHeight="1">
      <c r="A10" s="14">
        <v>45797.47186849537</v>
      </c>
      <c r="B10" s="15" t="s">
        <v>66</v>
      </c>
      <c r="C10" s="15" t="s">
        <v>67</v>
      </c>
      <c r="D10" s="15" t="s">
        <v>68</v>
      </c>
      <c r="E10" s="16">
        <v>28648.0</v>
      </c>
      <c r="F10" s="15" t="s">
        <v>69</v>
      </c>
      <c r="G10" s="15" t="s">
        <v>23</v>
      </c>
      <c r="H10" s="15" t="s">
        <v>4</v>
      </c>
      <c r="I10" s="15" t="s">
        <v>71</v>
      </c>
      <c r="J10" s="17"/>
      <c r="K10" s="17"/>
    </row>
    <row r="11" ht="22.5" customHeight="1">
      <c r="A11" s="11">
        <v>45799.380250752314</v>
      </c>
      <c r="B11" s="12" t="s">
        <v>72</v>
      </c>
      <c r="C11" s="12" t="s">
        <v>73</v>
      </c>
      <c r="D11" s="12" t="s">
        <v>74</v>
      </c>
      <c r="E11" s="13">
        <v>30385.0</v>
      </c>
      <c r="F11" s="12" t="s">
        <v>75</v>
      </c>
      <c r="G11" s="12" t="s">
        <v>23</v>
      </c>
      <c r="H11" s="12" t="s">
        <v>4</v>
      </c>
      <c r="I11" s="12" t="s">
        <v>77</v>
      </c>
      <c r="J11" s="12" t="s">
        <v>78</v>
      </c>
    </row>
    <row r="12" ht="22.5" customHeight="1">
      <c r="A12" s="11">
        <v>45799.382426261574</v>
      </c>
      <c r="B12" s="12" t="s">
        <v>79</v>
      </c>
      <c r="C12" s="12" t="s">
        <v>80</v>
      </c>
      <c r="D12" s="12" t="s">
        <v>81</v>
      </c>
      <c r="E12" s="13">
        <v>27361.0</v>
      </c>
      <c r="F12" s="12" t="s">
        <v>82</v>
      </c>
      <c r="G12" s="12" t="s">
        <v>23</v>
      </c>
      <c r="H12" s="12" t="s">
        <v>4</v>
      </c>
      <c r="I12" s="12" t="s">
        <v>84</v>
      </c>
    </row>
    <row r="13" ht="22.5" customHeight="1">
      <c r="A13" s="11">
        <v>45803.394792673615</v>
      </c>
      <c r="B13" s="12" t="s">
        <v>85</v>
      </c>
      <c r="C13" s="12" t="s">
        <v>86</v>
      </c>
      <c r="D13" s="12" t="s">
        <v>87</v>
      </c>
      <c r="E13" s="13">
        <v>22943.0</v>
      </c>
      <c r="F13" s="12" t="s">
        <v>89</v>
      </c>
      <c r="G13" s="12" t="s">
        <v>23</v>
      </c>
      <c r="H13" s="12" t="s">
        <v>4</v>
      </c>
      <c r="I13" s="12" t="s">
        <v>90</v>
      </c>
      <c r="J13" s="12" t="s">
        <v>91</v>
      </c>
    </row>
    <row r="14" ht="22.5" customHeight="1">
      <c r="A14" s="11">
        <v>45803.467959131944</v>
      </c>
      <c r="B14" s="12" t="s">
        <v>92</v>
      </c>
      <c r="C14" s="12" t="s">
        <v>93</v>
      </c>
      <c r="D14" s="12" t="s">
        <v>94</v>
      </c>
      <c r="E14" s="13">
        <v>27638.0</v>
      </c>
      <c r="F14" s="12" t="s">
        <v>95</v>
      </c>
      <c r="G14" s="12" t="s">
        <v>63</v>
      </c>
      <c r="H14" s="12" t="s">
        <v>4</v>
      </c>
      <c r="I14" s="12" t="s">
        <v>97</v>
      </c>
    </row>
    <row r="15" ht="22.5" customHeight="1">
      <c r="A15" s="11">
        <v>45803.47337922454</v>
      </c>
      <c r="B15" s="12" t="s">
        <v>99</v>
      </c>
      <c r="C15" s="12" t="s">
        <v>100</v>
      </c>
      <c r="D15" s="12" t="s">
        <v>101</v>
      </c>
      <c r="E15" s="13">
        <v>38393.0</v>
      </c>
      <c r="F15" s="12" t="s">
        <v>102</v>
      </c>
      <c r="G15" s="12" t="s">
        <v>63</v>
      </c>
      <c r="H15" s="12" t="s">
        <v>4</v>
      </c>
      <c r="I15" s="12" t="s">
        <v>103</v>
      </c>
    </row>
    <row r="16" ht="22.5" hidden="1" customHeight="1">
      <c r="A16" s="11">
        <v>45804.49932128472</v>
      </c>
      <c r="B16" s="12" t="s">
        <v>105</v>
      </c>
      <c r="C16" s="12" t="s">
        <v>106</v>
      </c>
      <c r="D16" s="12" t="s">
        <v>107</v>
      </c>
      <c r="E16" s="13">
        <v>29239.0</v>
      </c>
      <c r="F16" s="12" t="s">
        <v>108</v>
      </c>
      <c r="G16" s="12" t="s">
        <v>63</v>
      </c>
      <c r="H16" s="12" t="s">
        <v>3</v>
      </c>
      <c r="K16" s="12" t="s">
        <v>109</v>
      </c>
    </row>
    <row r="17" ht="22.5" customHeight="1">
      <c r="A17" s="11">
        <v>45804.34664016204</v>
      </c>
      <c r="B17" s="12" t="s">
        <v>110</v>
      </c>
      <c r="C17" s="12" t="s">
        <v>111</v>
      </c>
      <c r="D17" s="12" t="s">
        <v>112</v>
      </c>
      <c r="E17" s="13">
        <v>29441.0</v>
      </c>
      <c r="F17" s="12" t="s">
        <v>113</v>
      </c>
      <c r="G17" s="12" t="s">
        <v>70</v>
      </c>
      <c r="H17" s="12" t="s">
        <v>4</v>
      </c>
      <c r="I17" s="12" t="s">
        <v>114</v>
      </c>
    </row>
    <row r="18" ht="22.5" customHeight="1">
      <c r="A18" s="11">
        <v>45804.57718778936</v>
      </c>
      <c r="B18" s="12" t="s">
        <v>115</v>
      </c>
      <c r="C18" s="12" t="s">
        <v>116</v>
      </c>
      <c r="D18" s="12" t="s">
        <v>117</v>
      </c>
      <c r="E18" s="13">
        <v>23308.0</v>
      </c>
      <c r="F18" s="12" t="s">
        <v>118</v>
      </c>
      <c r="G18" s="12" t="s">
        <v>70</v>
      </c>
      <c r="H18" s="12" t="s">
        <v>4</v>
      </c>
      <c r="I18" s="12" t="s">
        <v>119</v>
      </c>
    </row>
    <row r="19" ht="22.5" customHeight="1">
      <c r="A19" s="11">
        <v>45803.36706686343</v>
      </c>
      <c r="B19" s="12" t="s">
        <v>120</v>
      </c>
      <c r="C19" s="12" t="s">
        <v>121</v>
      </c>
      <c r="D19" s="12" t="s">
        <v>122</v>
      </c>
      <c r="E19" s="13">
        <v>32141.0</v>
      </c>
      <c r="F19" s="12" t="s">
        <v>123</v>
      </c>
      <c r="G19" s="12" t="s">
        <v>76</v>
      </c>
      <c r="H19" s="12" t="s">
        <v>4</v>
      </c>
      <c r="I19" s="12" t="s">
        <v>124</v>
      </c>
    </row>
    <row r="20" ht="22.5" customHeight="1">
      <c r="A20" s="11">
        <v>45803.379808356476</v>
      </c>
      <c r="B20" s="12" t="s">
        <v>120</v>
      </c>
      <c r="C20" s="12" t="s">
        <v>125</v>
      </c>
      <c r="D20" s="12" t="s">
        <v>126</v>
      </c>
      <c r="E20" s="13">
        <v>30714.0</v>
      </c>
      <c r="F20" s="12" t="s">
        <v>127</v>
      </c>
      <c r="G20" s="12" t="s">
        <v>76</v>
      </c>
      <c r="H20" s="12" t="s">
        <v>4</v>
      </c>
      <c r="I20" s="12" t="s">
        <v>128</v>
      </c>
    </row>
    <row r="21" ht="22.5" hidden="1" customHeight="1">
      <c r="A21" s="11">
        <v>45803.383173912036</v>
      </c>
      <c r="B21" s="12" t="s">
        <v>120</v>
      </c>
      <c r="C21" s="12" t="s">
        <v>129</v>
      </c>
      <c r="D21" s="12" t="s">
        <v>130</v>
      </c>
      <c r="E21" s="13">
        <v>28880.0</v>
      </c>
      <c r="F21" s="12" t="s">
        <v>131</v>
      </c>
      <c r="G21" s="12" t="s">
        <v>76</v>
      </c>
      <c r="H21" s="12" t="s">
        <v>3</v>
      </c>
      <c r="K21" s="12" t="s">
        <v>132</v>
      </c>
    </row>
    <row r="22" ht="22.5" customHeight="1">
      <c r="A22" s="11">
        <v>45798.67534638889</v>
      </c>
      <c r="B22" s="12" t="s">
        <v>133</v>
      </c>
      <c r="C22" s="12" t="s">
        <v>134</v>
      </c>
      <c r="D22" s="12" t="s">
        <v>135</v>
      </c>
      <c r="E22" s="13">
        <v>29411.0</v>
      </c>
      <c r="F22" s="12" t="s">
        <v>136</v>
      </c>
      <c r="G22" s="12" t="s">
        <v>83</v>
      </c>
      <c r="H22" s="12" t="s">
        <v>4</v>
      </c>
      <c r="I22" s="12" t="s">
        <v>137</v>
      </c>
      <c r="J22" s="12" t="s">
        <v>138</v>
      </c>
    </row>
    <row r="23" ht="22.5" hidden="1" customHeight="1">
      <c r="A23" s="11">
        <v>45798.68095673611</v>
      </c>
      <c r="B23" s="12" t="s">
        <v>139</v>
      </c>
      <c r="C23" s="12" t="s">
        <v>140</v>
      </c>
      <c r="D23" s="12" t="s">
        <v>141</v>
      </c>
      <c r="E23" s="13">
        <v>29622.0</v>
      </c>
      <c r="F23" s="12" t="s">
        <v>142</v>
      </c>
      <c r="G23" s="12" t="s">
        <v>83</v>
      </c>
      <c r="H23" s="12" t="s">
        <v>3</v>
      </c>
      <c r="K23" s="12" t="s">
        <v>143</v>
      </c>
    </row>
    <row r="24" ht="22.5" hidden="1" customHeight="1">
      <c r="A24" s="11">
        <v>45798.41679131944</v>
      </c>
      <c r="B24" s="12" t="s">
        <v>144</v>
      </c>
      <c r="C24" s="12" t="s">
        <v>145</v>
      </c>
      <c r="D24" s="12" t="s">
        <v>146</v>
      </c>
      <c r="E24" s="13">
        <v>28844.0</v>
      </c>
      <c r="F24" s="12" t="s">
        <v>147</v>
      </c>
      <c r="G24" s="12" t="s">
        <v>88</v>
      </c>
      <c r="H24" s="12" t="s">
        <v>3</v>
      </c>
      <c r="K24" s="12" t="s">
        <v>148</v>
      </c>
    </row>
    <row r="25" ht="22.5" customHeight="1">
      <c r="A25" s="11">
        <v>45803.69054820602</v>
      </c>
      <c r="B25" s="12" t="s">
        <v>149</v>
      </c>
      <c r="C25" s="12" t="s">
        <v>150</v>
      </c>
      <c r="D25" s="12" t="s">
        <v>151</v>
      </c>
      <c r="E25" s="13">
        <v>26510.0</v>
      </c>
      <c r="F25" s="12" t="s">
        <v>152</v>
      </c>
      <c r="G25" s="12" t="s">
        <v>88</v>
      </c>
      <c r="H25" s="12" t="s">
        <v>4</v>
      </c>
      <c r="I25" s="12" t="s">
        <v>153</v>
      </c>
      <c r="J25" s="12" t="s">
        <v>154</v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4" max="4" width="13.0"/>
    <col customWidth="1" min="5" max="5" width="20.63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5"/>
      <c r="B2" s="6" t="s">
        <v>5</v>
      </c>
      <c r="C2" s="5"/>
      <c r="D2" s="7">
        <f>COUNTIFS(Form_Responses1[Você faz parte do:],$D$1,Form_Responses1[Município que representa:],$B2)</f>
        <v>0</v>
      </c>
      <c r="E2" s="7">
        <f>COUNTIFS(Form_Responses1[Você faz parte do:],$E$1,Form_Responses1[Município que representa:],$B2)</f>
        <v>0</v>
      </c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5"/>
      <c r="B3" s="6" t="s">
        <v>7</v>
      </c>
      <c r="C3" s="5"/>
      <c r="D3" s="7">
        <f>COUNTIFS(Form_Responses1[Você faz parte do:],$D$1,Form_Responses1[Município que representa:],$B3)</f>
        <v>0</v>
      </c>
      <c r="E3" s="7">
        <f>COUNTIFS(Form_Responses1[Você faz parte do:],$E$1,Form_Responses1[Município que representa:],$B3)</f>
        <v>1</v>
      </c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5"/>
      <c r="B4" s="6" t="s">
        <v>15</v>
      </c>
      <c r="C4" s="5"/>
      <c r="D4" s="7">
        <f>COUNTIFS(Form_Responses1[Você faz parte do:],$D$1,Form_Responses1[Município que representa:],$B4)</f>
        <v>0</v>
      </c>
      <c r="E4" s="7">
        <f>COUNTIFS(Form_Responses1[Você faz parte do:],$E$1,Form_Responses1[Município que representa:],$B4)</f>
        <v>0</v>
      </c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>
      <c r="A5" s="5"/>
      <c r="B5" s="6" t="s">
        <v>23</v>
      </c>
      <c r="C5" s="5"/>
      <c r="D5" s="7">
        <f>COUNTIFS(Form_Responses1[Você faz parte do:],$D$1,Form_Responses1[Município que representa:],$B5)</f>
        <v>0</v>
      </c>
      <c r="E5" s="7">
        <f>COUNTIFS(Form_Responses1[Você faz parte do:],$E$1,Form_Responses1[Município que representa:],$B5)</f>
        <v>4</v>
      </c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>
      <c r="A6" s="5"/>
      <c r="B6" s="6" t="s">
        <v>29</v>
      </c>
      <c r="C6" s="5"/>
      <c r="D6" s="7">
        <f>COUNTIFS(Form_Responses1[Você faz parte do:],$D$1,Form_Responses1[Município que representa:],$B6)</f>
        <v>1</v>
      </c>
      <c r="E6" s="7">
        <f>COUNTIFS(Form_Responses1[Você faz parte do:],$E$1,Form_Responses1[Município que representa:],$B6)</f>
        <v>2</v>
      </c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>
      <c r="A7" s="5"/>
      <c r="B7" s="6" t="s">
        <v>40</v>
      </c>
      <c r="C7" s="5"/>
      <c r="D7" s="7">
        <f>COUNTIFS(Form_Responses1[Você faz parte do:],$D$1,Form_Responses1[Município que representa:],$B7)</f>
        <v>2</v>
      </c>
      <c r="E7" s="7">
        <f>COUNTIFS(Form_Responses1[Você faz parte do:],$E$1,Form_Responses1[Município que representa:],$B7)</f>
        <v>2</v>
      </c>
      <c r="F7" s="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>
      <c r="A8" s="5"/>
      <c r="B8" s="6" t="s">
        <v>48</v>
      </c>
      <c r="C8" s="5"/>
      <c r="D8" s="7">
        <f>COUNTIFS(Form_Responses1[Você faz parte do:],$D$1,Form_Responses1[Município que representa:],$B8)</f>
        <v>0</v>
      </c>
      <c r="E8" s="7">
        <f>COUNTIFS(Form_Responses1[Você faz parte do:],$E$1,Form_Responses1[Município que representa:],$B8)</f>
        <v>0</v>
      </c>
      <c r="F8" s="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>
      <c r="A9" s="5"/>
      <c r="B9" s="6" t="s">
        <v>53</v>
      </c>
      <c r="C9" s="5"/>
      <c r="D9" s="7">
        <f>COUNTIFS(Form_Responses1[Você faz parte do:],$D$1,Form_Responses1[Município que representa:],$B9)</f>
        <v>0</v>
      </c>
      <c r="E9" s="7">
        <f>COUNTIFS(Form_Responses1[Você faz parte do:],$E$1,Form_Responses1[Município que representa:],$B9)</f>
        <v>0</v>
      </c>
      <c r="F9" s="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>
      <c r="A10" s="5"/>
      <c r="B10" s="6" t="s">
        <v>63</v>
      </c>
      <c r="C10" s="5"/>
      <c r="D10" s="7">
        <f>COUNTIFS(Form_Responses1[Você faz parte do:],$D$1,Form_Responses1[Município que representa:],$B10)</f>
        <v>1</v>
      </c>
      <c r="E10" s="7">
        <f>COUNTIFS(Form_Responses1[Você faz parte do:],$E$1,Form_Responses1[Município que representa:],$B10)</f>
        <v>2</v>
      </c>
      <c r="F10" s="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>
      <c r="A11" s="5"/>
      <c r="B11" s="6" t="s">
        <v>70</v>
      </c>
      <c r="C11" s="5"/>
      <c r="D11" s="7">
        <f>COUNTIFS(Form_Responses1[Você faz parte do:],$D$1,Form_Responses1[Município que representa:],$B11)</f>
        <v>0</v>
      </c>
      <c r="E11" s="7">
        <f>COUNTIFS(Form_Responses1[Você faz parte do:],$E$1,Form_Responses1[Município que representa:],$B11)</f>
        <v>2</v>
      </c>
      <c r="F11" s="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>
      <c r="A12" s="5"/>
      <c r="B12" s="6" t="s">
        <v>76</v>
      </c>
      <c r="C12" s="5"/>
      <c r="D12" s="7">
        <f>COUNTIFS(Form_Responses1[Você faz parte do:],$D$1,Form_Responses1[Município que representa:],$B12)</f>
        <v>1</v>
      </c>
      <c r="E12" s="7">
        <f>COUNTIFS(Form_Responses1[Você faz parte do:],$E$1,Form_Responses1[Município que representa:],$B12)</f>
        <v>2</v>
      </c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>
      <c r="A13" s="5"/>
      <c r="B13" s="6" t="s">
        <v>83</v>
      </c>
      <c r="C13" s="5"/>
      <c r="D13" s="7">
        <f>COUNTIFS(Form_Responses1[Você faz parte do:],$D$1,Form_Responses1[Município que representa:],$B13)</f>
        <v>1</v>
      </c>
      <c r="E13" s="7">
        <f>COUNTIFS(Form_Responses1[Você faz parte do:],$E$1,Form_Responses1[Município que representa:],$B13)</f>
        <v>1</v>
      </c>
      <c r="F13" s="3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>
      <c r="A14" s="5"/>
      <c r="B14" s="6" t="s">
        <v>88</v>
      </c>
      <c r="C14" s="5"/>
      <c r="D14" s="7">
        <f>COUNTIFS(Form_Responses1[Você faz parte do:],$D$1,Form_Responses1[Município que representa:],$B14)</f>
        <v>1</v>
      </c>
      <c r="E14" s="7">
        <f>COUNTIFS(Form_Responses1[Você faz parte do:],$E$1,Form_Responses1[Município que representa:],$B14)</f>
        <v>1</v>
      </c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>
      <c r="A15" s="3"/>
      <c r="B15" s="3"/>
      <c r="C15" s="3"/>
      <c r="D15" s="3"/>
      <c r="E15" s="3"/>
      <c r="F15" s="3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>
      <c r="A16" s="3"/>
      <c r="B16" s="3"/>
      <c r="C16" s="3"/>
      <c r="D16" s="3"/>
      <c r="E16" s="3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>
      <c r="A17" s="3"/>
      <c r="B17" s="3"/>
      <c r="C17" s="3"/>
      <c r="D17" s="1" t="s">
        <v>96</v>
      </c>
      <c r="E17" s="1" t="s">
        <v>4</v>
      </c>
      <c r="F17" s="3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>
      <c r="A18" s="18" t="s">
        <v>98</v>
      </c>
      <c r="B18" s="19"/>
      <c r="C18" s="20"/>
      <c r="D18" s="21">
        <f t="shared" ref="D18:E18" si="1">COUNTIF(D2:D14,"&gt;0")</f>
        <v>6</v>
      </c>
      <c r="E18" s="21">
        <f t="shared" si="1"/>
        <v>9</v>
      </c>
      <c r="F18" s="3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>
      <c r="A19" s="18" t="s">
        <v>104</v>
      </c>
      <c r="B19" s="19"/>
      <c r="C19" s="20"/>
      <c r="D19" s="21">
        <f t="shared" ref="D19:E19" si="2">SUM(D2:D14)</f>
        <v>7</v>
      </c>
      <c r="E19" s="21">
        <f t="shared" si="2"/>
        <v>17</v>
      </c>
      <c r="F19" s="3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</sheetData>
  <mergeCells count="2">
    <mergeCell ref="A18:C18"/>
    <mergeCell ref="A19:C19"/>
  </mergeCells>
  <conditionalFormatting sqref="D2:E14">
    <cfRule type="cellIs" dxfId="5" priority="1" operator="greaterThan">
      <formula>0</formula>
    </cfRule>
  </conditionalFormatting>
  <conditionalFormatting sqref="D2:E14">
    <cfRule type="cellIs" dxfId="6" priority="2" operator="equal">
      <formula>0</formula>
    </cfRule>
  </conditionalFormatting>
  <drawing r:id="rId1"/>
</worksheet>
</file>