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trole" sheetId="2" r:id="rId6"/>
  </sheets>
  <definedNames/>
  <calcPr/>
</workbook>
</file>

<file path=xl/sharedStrings.xml><?xml version="1.0" encoding="utf-8"?>
<sst xmlns="http://schemas.openxmlformats.org/spreadsheetml/2006/main" count="553" uniqueCount="315">
  <si>
    <t>Carimbo de data/hora</t>
  </si>
  <si>
    <t>Endereço de e-mail</t>
  </si>
  <si>
    <t>Nome Completo:</t>
  </si>
  <si>
    <t>Confirme o E-mail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</si>
  <si>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</si>
  <si>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</si>
  <si>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</si>
  <si>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</si>
  <si>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</si>
  <si>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</si>
  <si>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</si>
  <si>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</si>
  <si>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</si>
  <si>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Coluna 14</t>
  </si>
  <si>
    <t>dorinhajm.2015@gmail.com</t>
  </si>
  <si>
    <t xml:space="preserve">Francisca Teodora Monteiro de Oliveira </t>
  </si>
  <si>
    <t>000.253.751-64</t>
  </si>
  <si>
    <t>(61)98215-2356</t>
  </si>
  <si>
    <t>Valparaíso de Goiás</t>
  </si>
  <si>
    <t>CACS-FUNDEB</t>
  </si>
  <si>
    <t>Conselheiro</t>
  </si>
  <si>
    <t>Declaro que revisei e confirmo a veracidade de todas as informações prestadas neste formulário.</t>
  </si>
  <si>
    <t>raimundooneeto@gmail.com</t>
  </si>
  <si>
    <t>Raimundo Vieira Soares Neto</t>
  </si>
  <si>
    <t>002.897.261-90</t>
  </si>
  <si>
    <t>(61)99427-9449</t>
  </si>
  <si>
    <t>Santo Antônio do Descoberto</t>
  </si>
  <si>
    <t>Gestão municipal</t>
  </si>
  <si>
    <t>Assistente De Transporte Escolar</t>
  </si>
  <si>
    <t>O Transporte Escolar Rural e Urbano vem crescendo com Georeferenciamento de cada aluno, está avançando com identificação do Secretário Da Educação Elismar (Lima Vendedor) e a falta de um Responsável me indicou e deixou com essa responsabilidade aonde estamos construindo um Transporte Escolar com Transparência e Qualidade!</t>
  </si>
  <si>
    <t>jucienerdsa@gmail.com</t>
  </si>
  <si>
    <t>Juciene Rodrigues da Silva</t>
  </si>
  <si>
    <t>003.854.301-08</t>
  </si>
  <si>
    <t>(61)99835-9941</t>
  </si>
  <si>
    <t>Formosa</t>
  </si>
  <si>
    <t>Técnica da prestação de contas</t>
  </si>
  <si>
    <t>luizinho.brandao@hotmail.com</t>
  </si>
  <si>
    <t>LUIZ ANTONIO ALVES BRANDAO</t>
  </si>
  <si>
    <t>009.719.041-11</t>
  </si>
  <si>
    <t>(61)99955-3065</t>
  </si>
  <si>
    <t>Cabeceiras</t>
  </si>
  <si>
    <t>GERENTE DE AQUISIÇÃO - CHEFE DO TRANSPORTE ESCOLAR</t>
  </si>
  <si>
    <t>janainaricardo.21@gmail.com</t>
  </si>
  <si>
    <t xml:space="preserve">Janaína Ricardo da Silva </t>
  </si>
  <si>
    <t>012.658.421-40</t>
  </si>
  <si>
    <t>(61)99186-4325</t>
  </si>
  <si>
    <t>Cidade Ocidental</t>
  </si>
  <si>
    <t xml:space="preserve">Vice-presidente </t>
  </si>
  <si>
    <t>cacsformosa@gmail.com</t>
  </si>
  <si>
    <t>Denilson Marciano Ferreira</t>
  </si>
  <si>
    <t>016.857.731-33</t>
  </si>
  <si>
    <t>(61)99822-8859</t>
  </si>
  <si>
    <t xml:space="preserve">Presidente </t>
  </si>
  <si>
    <t>ediramjosilva@gmail.com</t>
  </si>
  <si>
    <t xml:space="preserve">Olizia Alves de Matos Silva </t>
  </si>
  <si>
    <t>024.296.126-66</t>
  </si>
  <si>
    <t>(61)98425-9543</t>
  </si>
  <si>
    <t>Representante dos professores - conselheira</t>
  </si>
  <si>
    <t>coordsilvania@gmail.com</t>
  </si>
  <si>
    <t xml:space="preserve">Silvania Souza Marins Macedo </t>
  </si>
  <si>
    <t>025.266.481-73</t>
  </si>
  <si>
    <t>(61)99854-1683</t>
  </si>
  <si>
    <t>Água Fria de Goiás</t>
  </si>
  <si>
    <t>francelino16@hotmail.com</t>
  </si>
  <si>
    <t>Francelino Palácio de Morais</t>
  </si>
  <si>
    <t>040.394.641-76</t>
  </si>
  <si>
    <t>(61)99547-0786</t>
  </si>
  <si>
    <t>Novo Gama</t>
  </si>
  <si>
    <t xml:space="preserve">Diretor do Transporte Escolar </t>
  </si>
  <si>
    <t>FranciscaErickPietro2010@gmail.com</t>
  </si>
  <si>
    <t>Francisca Pereira torcato</t>
  </si>
  <si>
    <t xml:space="preserve">Franciscaerickpietro2010@gmail.com </t>
  </si>
  <si>
    <t>052.726.111-44</t>
  </si>
  <si>
    <t>(61)99355-8287</t>
  </si>
  <si>
    <t>Conselheira</t>
  </si>
  <si>
    <t>wanderley-wsf@hotmail.com</t>
  </si>
  <si>
    <t>Wanderley Fernando Silva Macedo</t>
  </si>
  <si>
    <t>055.022.931-06</t>
  </si>
  <si>
    <t>(61)99218-7061</t>
  </si>
  <si>
    <t>ASSESSOR (A) DE GABINETE III</t>
  </si>
  <si>
    <t>alinetransporteescolarjussara@gmail.com</t>
  </si>
  <si>
    <t xml:space="preserve">ALINE BARBOSA DA SILVA FERREIRA </t>
  </si>
  <si>
    <t>alinetrasnporteescolarjussara@gmail.com</t>
  </si>
  <si>
    <t>079.311.789-55</t>
  </si>
  <si>
    <t>(44)99871-5907</t>
  </si>
  <si>
    <t>Jussara - PR</t>
  </si>
  <si>
    <t xml:space="preserve">Secretária Executiva da Educação. </t>
  </si>
  <si>
    <t>kelledias0@gmail.com</t>
  </si>
  <si>
    <t>Kelle Dias Souto</t>
  </si>
  <si>
    <t>101.604.916-14</t>
  </si>
  <si>
    <t>(61)99915-1756</t>
  </si>
  <si>
    <t xml:space="preserve">Membro </t>
  </si>
  <si>
    <t>fatimafau3657@gmail.com</t>
  </si>
  <si>
    <t>Maria de fatima alves de sales</t>
  </si>
  <si>
    <t>Fatimafau3657@gmail.com</t>
  </si>
  <si>
    <t>153.850.511-87</t>
  </si>
  <si>
    <t>(61)98682-8267</t>
  </si>
  <si>
    <t>elenicealbano2@gmail.com</t>
  </si>
  <si>
    <t>Maria Elenice Albano Santos</t>
  </si>
  <si>
    <t xml:space="preserve">elenicealbano2@gmail.com </t>
  </si>
  <si>
    <t>199.838.912-04</t>
  </si>
  <si>
    <t>(61)99590-6771</t>
  </si>
  <si>
    <t>niltonfl@yahoo.com.br</t>
  </si>
  <si>
    <t xml:space="preserve">Nílton Nelson Pereira da Silva </t>
  </si>
  <si>
    <t>294.982.871-04</t>
  </si>
  <si>
    <t>(61)98424-5304</t>
  </si>
  <si>
    <t>Cristalina</t>
  </si>
  <si>
    <t xml:space="preserve">Coordenador do transporte escolar do município </t>
  </si>
  <si>
    <t>gabinetesme5@gmail.com</t>
  </si>
  <si>
    <t>Maria Rita Ribeiro Guedes Frazão</t>
  </si>
  <si>
    <t>416.360.311-53</t>
  </si>
  <si>
    <t>(61)98592-7624</t>
  </si>
  <si>
    <t>Secretária de Educação</t>
  </si>
  <si>
    <t>rozimeirenogueira@gmail.com</t>
  </si>
  <si>
    <t xml:space="preserve">ROZIMEIRE DE BARROS NOGUEIRA </t>
  </si>
  <si>
    <t>417.678.021-53</t>
  </si>
  <si>
    <t>(61)99672-0726</t>
  </si>
  <si>
    <t>SECRETÁRIA MUNICIPAL DE EDUCAÇÃO</t>
  </si>
  <si>
    <t>O NOSO SUCESSO É SOMENTE A GARANTIA DO TRANSPORTE DIÁRIO</t>
  </si>
  <si>
    <t>lucietesouza2012@gmail.com</t>
  </si>
  <si>
    <t>Luciete Rosa de Souza</t>
  </si>
  <si>
    <t>471.653.911-34</t>
  </si>
  <si>
    <t>(61)99260-5343</t>
  </si>
  <si>
    <t xml:space="preserve">Conselheira titular segmento administrativo </t>
  </si>
  <si>
    <t>editeneveslima@gmail.com</t>
  </si>
  <si>
    <t>Edite Neves Lima</t>
  </si>
  <si>
    <t>Editeneveslima@gmail.com</t>
  </si>
  <si>
    <t>473.897.531-53</t>
  </si>
  <si>
    <t>(61)98374-4519</t>
  </si>
  <si>
    <t>Coselheira</t>
  </si>
  <si>
    <t>copaiba1994@gmail.com</t>
  </si>
  <si>
    <t xml:space="preserve">Jerson Machado </t>
  </si>
  <si>
    <t>476.476.391-53</t>
  </si>
  <si>
    <t>(61)99632-4995</t>
  </si>
  <si>
    <t xml:space="preserve">Motorista e parte de documentos do departamento </t>
  </si>
  <si>
    <t>Todo o município e atendido com o transporte escolar, média de 4000 alunos transportado diariamente e mais de 13 mil km percorrido por dia entre transporte público e terceirizado</t>
  </si>
  <si>
    <t>edvaldovaldinhonunesamorim@gmail.com</t>
  </si>
  <si>
    <t xml:space="preserve">Edvaldo Nunes de Amorim </t>
  </si>
  <si>
    <t>516.212.151-72</t>
  </si>
  <si>
    <t>(61)99525-7272</t>
  </si>
  <si>
    <t>COORDENADOR DE TRANSPORTE ESCOLAR</t>
  </si>
  <si>
    <t>wilkapc@gmail.com</t>
  </si>
  <si>
    <t xml:space="preserve">Wilka de Kássia Pereira Cardoso </t>
  </si>
  <si>
    <t>589.972.101-49</t>
  </si>
  <si>
    <t>(61)99651-9075</t>
  </si>
  <si>
    <t xml:space="preserve">Secretária Municipal de Educação </t>
  </si>
  <si>
    <t>profgizeledoaee@gmail.com</t>
  </si>
  <si>
    <t xml:space="preserve">Gizele Rodrigues Soares </t>
  </si>
  <si>
    <t>618.223.701-59</t>
  </si>
  <si>
    <t>(61)99640-8827</t>
  </si>
  <si>
    <t xml:space="preserve">Conselheira suplente </t>
  </si>
  <si>
    <t>transportesmevg@gmai.com</t>
  </si>
  <si>
    <t>Fabiano Galvão de Brito</t>
  </si>
  <si>
    <t>Transportesmevg@gmail.com</t>
  </si>
  <si>
    <t>700.544.521-04</t>
  </si>
  <si>
    <t>(61)99556-7427</t>
  </si>
  <si>
    <t>Diretor de Transporte</t>
  </si>
  <si>
    <t>Transporte dos alunos PcDs com veículos da frota oficial</t>
  </si>
  <si>
    <t>franalcantara02@hotmail.com</t>
  </si>
  <si>
    <t xml:space="preserve">Franciene de Alcântara Nunes Sousa </t>
  </si>
  <si>
    <t>803.527.821-53</t>
  </si>
  <si>
    <t>(61)98574-5969</t>
  </si>
  <si>
    <t xml:space="preserve">Conselheira </t>
  </si>
  <si>
    <t>ercules.medeiros@hotmail.com</t>
  </si>
  <si>
    <t>Sebastão Ercules R. Medeiros</t>
  </si>
  <si>
    <t>830.838.554-00</t>
  </si>
  <si>
    <t>(61)99617-0044</t>
  </si>
  <si>
    <t>Coordenador de Programas Educacionais da Secretaria Municipal de Educação</t>
  </si>
  <si>
    <t>Nada a relatar de momento</t>
  </si>
  <si>
    <t>carlasilverio.silva@gmail.com</t>
  </si>
  <si>
    <t xml:space="preserve">Carla Silvério da Silva </t>
  </si>
  <si>
    <t>837.722.351-15</t>
  </si>
  <si>
    <t>(61)98475-2438</t>
  </si>
  <si>
    <t xml:space="preserve">Diretora de Transporte Escolar </t>
  </si>
  <si>
    <t>diolan21@gmail.com</t>
  </si>
  <si>
    <t>Diolan Batista Porto</t>
  </si>
  <si>
    <t>959.175.001-34</t>
  </si>
  <si>
    <t>(61)99908-4050</t>
  </si>
  <si>
    <t>creozanimoreira42@gmail.com</t>
  </si>
  <si>
    <t xml:space="preserve">Creozani Moreira Da Silva </t>
  </si>
  <si>
    <t>959.503.031-72</t>
  </si>
  <si>
    <t>(61)99662-8016</t>
  </si>
  <si>
    <t>Conselho</t>
  </si>
  <si>
    <t>sousaesilva_125@hotmail.com</t>
  </si>
  <si>
    <t>Patricia Sousa da Silva Matos</t>
  </si>
  <si>
    <t>964.058.211-53</t>
  </si>
  <si>
    <t>(61)98468-8699</t>
  </si>
  <si>
    <t>Superintendente do Fundeb e FME</t>
  </si>
  <si>
    <t>bola.alves@yahoo.com.br</t>
  </si>
  <si>
    <t>Cícero Lopes Alves</t>
  </si>
  <si>
    <t>635.793.321-04</t>
  </si>
  <si>
    <t>(61)99330-3822</t>
  </si>
  <si>
    <t>Alexânia</t>
  </si>
  <si>
    <t>Coordenador de Transporte</t>
  </si>
  <si>
    <t>anayanepereiradesousa@gmail.com</t>
  </si>
  <si>
    <t>Anayane Pereira de Sousa</t>
  </si>
  <si>
    <t>705.495.231-62</t>
  </si>
  <si>
    <t>(62)99557-8844</t>
  </si>
  <si>
    <t xml:space="preserve">Coordenação de transporte </t>
  </si>
  <si>
    <t>marcosaurelho982@gmail.com</t>
  </si>
  <si>
    <t>Marcos Aurelho de França Viana</t>
  </si>
  <si>
    <t>635.523.101-34</t>
  </si>
  <si>
    <t>(61)99647-2610</t>
  </si>
  <si>
    <t>Técnico de Prestação de Contas da Secretaria Municipal de Educação</t>
  </si>
  <si>
    <t>transporteeducacaocampoalegre@gmail.com</t>
  </si>
  <si>
    <t xml:space="preserve">Guilania Pereira da Fonseca </t>
  </si>
  <si>
    <t>007.689.631-50</t>
  </si>
  <si>
    <t>(64)99652-6159</t>
  </si>
  <si>
    <t>Campo Alegre de Goiás</t>
  </si>
  <si>
    <t>Coordenador Transporte Escolar</t>
  </si>
  <si>
    <t xml:space="preserve">Coordenador de transporte </t>
  </si>
  <si>
    <t>A vistoria passou 100%</t>
  </si>
  <si>
    <t>julianabraz10@gmail.com</t>
  </si>
  <si>
    <t xml:space="preserve">Juliana Silvia Braz </t>
  </si>
  <si>
    <t>007.503.831-51</t>
  </si>
  <si>
    <t>(61)99922-4481</t>
  </si>
  <si>
    <t>Luziânia</t>
  </si>
  <si>
    <t xml:space="preserve">Agente da Educação </t>
  </si>
  <si>
    <t>rosanambarreto@gmail.com</t>
  </si>
  <si>
    <t>Rosana Mantovani Barreto</t>
  </si>
  <si>
    <t>381.256.251-00</t>
  </si>
  <si>
    <t>(61)99831-0926</t>
  </si>
  <si>
    <t>Diretora da Divisão de Transportes</t>
  </si>
  <si>
    <t>mportela26@hotmail.com</t>
  </si>
  <si>
    <t>Márcia Vieira Portela</t>
  </si>
  <si>
    <t>844.253.931-04</t>
  </si>
  <si>
    <t>(61)98525-8488</t>
  </si>
  <si>
    <t>Assessora da Divisão de Transportes</t>
  </si>
  <si>
    <t>ricardorickdesousa@hotmail.com</t>
  </si>
  <si>
    <t>Ricardo Pereira de Sousa</t>
  </si>
  <si>
    <t>784.099.261-72</t>
  </si>
  <si>
    <t>(61)99616-1556</t>
  </si>
  <si>
    <t>Gestor do Transporte Escolar</t>
  </si>
  <si>
    <t>elianegomesfsa@hotmail.com</t>
  </si>
  <si>
    <t>Eliane Gomes de Melo</t>
  </si>
  <si>
    <t>023.192.371-60</t>
  </si>
  <si>
    <t>(61)99659-8818</t>
  </si>
  <si>
    <t>Técnica de prestação de contas</t>
  </si>
  <si>
    <t>maria.isoares@outlook.com</t>
  </si>
  <si>
    <t xml:space="preserve">Maria Ivanilda Gomes Soares </t>
  </si>
  <si>
    <t>647.349.431-68</t>
  </si>
  <si>
    <t>(61)99616-2161</t>
  </si>
  <si>
    <t>Mimoso de Goiás</t>
  </si>
  <si>
    <t>darciribeiroescola@gmail.com</t>
  </si>
  <si>
    <t xml:space="preserve">Jacielma de Sousa Moura </t>
  </si>
  <si>
    <t>730.674.581-68</t>
  </si>
  <si>
    <t>(61)99646-2711</t>
  </si>
  <si>
    <t>Águas Lindas de Goiás</t>
  </si>
  <si>
    <t>guilania_pf@hotmail.com</t>
  </si>
  <si>
    <t>Leandro Tolentino Castro</t>
  </si>
  <si>
    <t>034.430.751-42</t>
  </si>
  <si>
    <t>(64)99969-2700</t>
  </si>
  <si>
    <t>maria.crosant@gmail.com</t>
  </si>
  <si>
    <t xml:space="preserve">Maria Cristina Oliveira Santos </t>
  </si>
  <si>
    <t>005.739.411-30</t>
  </si>
  <si>
    <t>(61)99984-4299</t>
  </si>
  <si>
    <t>neyanerodrigues@gmail.com</t>
  </si>
  <si>
    <t xml:space="preserve">Neiane Rodrigues dos Santos </t>
  </si>
  <si>
    <t>Neyanerodrigues@gmail.com</t>
  </si>
  <si>
    <t>729.351.621-53</t>
  </si>
  <si>
    <t>(61)99197-0382</t>
  </si>
  <si>
    <t>Ssuele917@gmail.com</t>
  </si>
  <si>
    <t xml:space="preserve">MARIA SUELÃNDIA DOS SANTOS </t>
  </si>
  <si>
    <t>014.604.961-67</t>
  </si>
  <si>
    <t>(61)99996-5028</t>
  </si>
  <si>
    <t xml:space="preserve">Representante do poder executivo municipal </t>
  </si>
  <si>
    <t>educacaosaojoaodalianca@gmail.com</t>
  </si>
  <si>
    <t>JOSE SILVIO ROSA DOS SANTOS</t>
  </si>
  <si>
    <t>968.996.381-34</t>
  </si>
  <si>
    <t>(62)99613-4926</t>
  </si>
  <si>
    <t>São João d'Aliança</t>
  </si>
  <si>
    <t>coordenador de transporte</t>
  </si>
  <si>
    <t>conseguir atender todos os alunos.</t>
  </si>
  <si>
    <t>clauneirafael@gmail.com</t>
  </si>
  <si>
    <t>CLAUNEI RAFAEL LADISLAU</t>
  </si>
  <si>
    <t>358.972.791-87</t>
  </si>
  <si>
    <t>(61)99642-7903</t>
  </si>
  <si>
    <t xml:space="preserve">SECRETARIO DE FINANÇAS </t>
  </si>
  <si>
    <t>aguiarwania@gmail.com</t>
  </si>
  <si>
    <t>Wania Aguiar</t>
  </si>
  <si>
    <t>957.507.891-87</t>
  </si>
  <si>
    <t>(61)99831-3553</t>
  </si>
  <si>
    <t xml:space="preserve">Assistente técnica </t>
  </si>
  <si>
    <t>edilaine25ns@gmail.com</t>
  </si>
  <si>
    <t>Edilaine Nunes da Silva</t>
  </si>
  <si>
    <t>Edilaine25ns@gmail.com</t>
  </si>
  <si>
    <t>020.148.371-80</t>
  </si>
  <si>
    <t>(62)99606-5940</t>
  </si>
  <si>
    <t xml:space="preserve">Conselheira - secretária </t>
  </si>
  <si>
    <t>valdir.jsoares@outlook.com</t>
  </si>
  <si>
    <t xml:space="preserve">Valdir José Soares </t>
  </si>
  <si>
    <t>577.343.301-00</t>
  </si>
  <si>
    <t>(61)99148-6115</t>
  </si>
  <si>
    <t xml:space="preserve">Técnico do transporte escolar </t>
  </si>
  <si>
    <t>Dia</t>
  </si>
  <si>
    <t>NOME</t>
  </si>
  <si>
    <t>DIST(km)</t>
  </si>
  <si>
    <t>Total</t>
  </si>
  <si>
    <t>Responsável</t>
  </si>
  <si>
    <t>Situação</t>
  </si>
  <si>
    <t>Ana</t>
  </si>
  <si>
    <t>Alto Paraíso de Goiás</t>
  </si>
  <si>
    <t>Contato Realizado - sem retorno</t>
  </si>
  <si>
    <t>Brasília</t>
  </si>
  <si>
    <t>Catalão</t>
  </si>
  <si>
    <t>Cocalzinho de Goiás</t>
  </si>
  <si>
    <t>Davinópolis</t>
  </si>
  <si>
    <t>Kariny</t>
  </si>
  <si>
    <t>Ouvidor</t>
  </si>
  <si>
    <t>Padre Bernardo</t>
  </si>
  <si>
    <t>Planaltina</t>
  </si>
  <si>
    <t>Três Ranchos</t>
  </si>
  <si>
    <t>CACS</t>
  </si>
  <si>
    <t>Municípios com representante inscrito</t>
  </si>
  <si>
    <t>Pessoas Inscritas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</si>
</sst>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rgb="FFFFFFFF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horizontal="center" vertical="bottom"/>
    </xf>
    <xf borderId="0" fillId="2" fontId="5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" fillId="3" fontId="4" numFmtId="0" xfId="0" applyAlignment="1" applyBorder="1" applyFill="1" applyFont="1">
      <alignment horizontal="right" vertical="bottom"/>
    </xf>
    <xf borderId="1" fillId="3" fontId="4" numFmtId="165" xfId="0" applyAlignment="1" applyBorder="1" applyFill="1" applyFont="1" applyNumberFormat="1">
      <alignment horizontal="right" vertical="bottom"/>
    </xf>
    <xf borderId="1" fillId="3" fontId="4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1" fillId="4" fontId="4" numFmtId="0" xfId="0" applyAlignment="1" applyBorder="1" applyFill="1" applyFont="1">
      <alignment horizontal="right" vertical="bottom"/>
    </xf>
    <xf borderId="1" fillId="4" fontId="4" numFmtId="165" xfId="0" applyAlignment="1" applyBorder="1" applyFill="1" applyFont="1" applyNumberFormat="1">
      <alignment horizontal="right" vertical="bottom"/>
    </xf>
    <xf borderId="1" fillId="4" fontId="4" numFmtId="0" xfId="0" applyAlignment="1" applyBorder="1" applyFill="1" applyFont="1">
      <alignment readingOrder="0" vertical="bottom"/>
    </xf>
    <xf borderId="1" fillId="4" fontId="4" numFmtId="0" xfId="0" applyAlignment="1" applyBorder="1" applyFill="1" applyFont="1">
      <alignment vertical="bottom"/>
    </xf>
    <xf borderId="1" fillId="5" fontId="4" numFmtId="0" xfId="0" applyAlignment="1" applyBorder="1" applyFill="1" applyFont="1">
      <alignment horizontal="right" vertical="bottom"/>
    </xf>
    <xf borderId="1" fillId="5" fontId="4" numFmtId="165" xfId="0" applyAlignment="1" applyBorder="1" applyFill="1" applyFont="1" applyNumberFormat="1">
      <alignment horizontal="right" vertical="bottom"/>
    </xf>
    <xf borderId="1" fillId="5" fontId="4" numFmtId="0" xfId="0" applyAlignment="1" applyBorder="1" applyFill="1" applyFont="1">
      <alignment readingOrder="0" vertical="bottom"/>
    </xf>
    <xf borderId="1" fillId="5" fontId="4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right" vertical="bottom"/>
    </xf>
    <xf borderId="1" fillId="6" fontId="4" numFmtId="165" xfId="0" applyAlignment="1" applyBorder="1" applyFill="1" applyFont="1" applyNumberFormat="1">
      <alignment horizontal="right" vertical="bottom"/>
    </xf>
    <xf borderId="1" fillId="6" fontId="4" numFmtId="0" xfId="0" applyAlignment="1" applyBorder="1" applyFill="1" applyFont="1">
      <alignment readingOrder="0" vertical="bottom"/>
    </xf>
    <xf borderId="1" fillId="6" fontId="4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right" vertical="bottom"/>
    </xf>
    <xf borderId="1" fillId="7" fontId="4" numFmtId="165" xfId="0" applyAlignment="1" applyBorder="1" applyFill="1" applyFont="1" applyNumberFormat="1">
      <alignment horizontal="right" vertical="bottom"/>
    </xf>
    <xf borderId="1" fillId="7" fontId="4" numFmtId="0" xfId="0" applyAlignment="1" applyBorder="1" applyFill="1" applyFont="1">
      <alignment readingOrder="0" vertical="bottom"/>
    </xf>
    <xf borderId="1" fillId="7" fontId="4" numFmtId="0" xfId="0" applyAlignment="1" applyBorder="1" applyFill="1" applyFont="1">
      <alignment vertical="bottom"/>
    </xf>
    <xf borderId="1" fillId="7" fontId="6" numFmtId="0" xfId="0" applyAlignment="1" applyBorder="1" applyFill="1" applyFont="1">
      <alignment horizontal="center" vertical="bottom"/>
    </xf>
    <xf borderId="0" fillId="8" fontId="4" numFmtId="0" xfId="0" applyAlignment="1" applyFill="1" applyFont="1">
      <alignment vertical="bottom"/>
    </xf>
    <xf borderId="0" fillId="2" fontId="7" numFmtId="0" xfId="0" applyAlignment="1" applyFill="1" applyFont="1">
      <alignment horizontal="center" vertical="bottom"/>
    </xf>
    <xf borderId="2" fillId="4" fontId="6" numFmtId="0" xfId="0" applyAlignment="1" applyBorder="1" applyFill="1" applyFont="1">
      <alignment horizontal="right" vertical="bottom"/>
    </xf>
    <xf borderId="3" fillId="0" fontId="8" numFmtId="0" xfId="0" applyBorder="1" applyFont="1"/>
    <xf borderId="4" fillId="0" fontId="8" numFmtId="0" xfId="0" applyBorder="1" applyFont="1"/>
    <xf borderId="1" fillId="4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3" displayName="Form_Responses" name="Form_Responses" id="1">
  <tableColumns count="14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  <tableColumn name="Coluna 14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5" width="18.88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33.25"/>
    <col customWidth="1" min="14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4" t="s">
        <v>12</v>
      </c>
      <c r="N1" s="5" t="s">
        <v>13</v>
      </c>
    </row>
    <row r="2" ht="22.5" customHeight="1">
      <c r="A2" s="6">
        <v>45968.36539818287</v>
      </c>
      <c r="B2" s="7" t="s">
        <v>14</v>
      </c>
      <c r="C2" s="7" t="s">
        <v>15</v>
      </c>
      <c r="D2" s="7" t="s">
        <v>14</v>
      </c>
      <c r="E2" s="7" t="s">
        <v>16</v>
      </c>
      <c r="F2" s="8">
        <v>29643.0</v>
      </c>
      <c r="G2" s="7" t="s">
        <v>17</v>
      </c>
      <c r="H2" s="7" t="s">
        <v>18</v>
      </c>
      <c r="I2" s="7" t="s">
        <v>19</v>
      </c>
      <c r="L2" s="7" t="s">
        <v>20</v>
      </c>
      <c r="M2" s="7" t="s">
        <v>21</v>
      </c>
      <c r="N2" s="9"/>
    </row>
    <row r="3" ht="22.5" customHeight="1">
      <c r="A3" s="6">
        <v>45954.91421228009</v>
      </c>
      <c r="B3" s="7" t="s">
        <v>22</v>
      </c>
      <c r="C3" s="7" t="s">
        <v>23</v>
      </c>
      <c r="D3" s="7" t="s">
        <v>22</v>
      </c>
      <c r="E3" s="7" t="s">
        <v>24</v>
      </c>
      <c r="F3" s="8">
        <v>30555.0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M3" s="7" t="s">
        <v>21</v>
      </c>
      <c r="N3" s="9"/>
    </row>
    <row r="4" ht="22.5" customHeight="1">
      <c r="A4" s="6">
        <v>45967.57121729167</v>
      </c>
      <c r="B4" s="7" t="s">
        <v>30</v>
      </c>
      <c r="C4" s="7" t="s">
        <v>31</v>
      </c>
      <c r="D4" s="7" t="s">
        <v>30</v>
      </c>
      <c r="E4" s="7" t="s">
        <v>32</v>
      </c>
      <c r="F4" s="8">
        <v>30564.0</v>
      </c>
      <c r="G4" s="7" t="s">
        <v>33</v>
      </c>
      <c r="H4" s="7" t="s">
        <v>34</v>
      </c>
      <c r="I4" s="7" t="s">
        <v>27</v>
      </c>
      <c r="J4" s="7" t="s">
        <v>35</v>
      </c>
      <c r="M4" s="7" t="s">
        <v>21</v>
      </c>
      <c r="N4" s="9"/>
    </row>
    <row r="5" ht="22.5" customHeight="1">
      <c r="A5" s="6">
        <v>45978.38815875</v>
      </c>
      <c r="B5" s="7" t="s">
        <v>36</v>
      </c>
      <c r="C5" s="7" t="s">
        <v>37</v>
      </c>
      <c r="D5" s="7" t="s">
        <v>36</v>
      </c>
      <c r="E5" s="7" t="s">
        <v>38</v>
      </c>
      <c r="F5" s="8">
        <v>31577.0</v>
      </c>
      <c r="G5" s="7" t="s">
        <v>39</v>
      </c>
      <c r="H5" s="7" t="s">
        <v>40</v>
      </c>
      <c r="I5" s="7" t="s">
        <v>27</v>
      </c>
      <c r="J5" s="7" t="s">
        <v>41</v>
      </c>
      <c r="M5" s="7" t="s">
        <v>21</v>
      </c>
      <c r="N5" s="9"/>
    </row>
    <row r="6" ht="22.5" customHeight="1">
      <c r="A6" s="6">
        <v>45958.562612187496</v>
      </c>
      <c r="B6" s="7" t="s">
        <v>42</v>
      </c>
      <c r="C6" s="7" t="s">
        <v>43</v>
      </c>
      <c r="D6" s="7" t="s">
        <v>42</v>
      </c>
      <c r="E6" s="7" t="s">
        <v>44</v>
      </c>
      <c r="F6" s="8">
        <v>31007.0</v>
      </c>
      <c r="G6" s="7" t="s">
        <v>45</v>
      </c>
      <c r="H6" s="7" t="s">
        <v>46</v>
      </c>
      <c r="I6" s="7" t="s">
        <v>19</v>
      </c>
      <c r="L6" s="7" t="s">
        <v>47</v>
      </c>
      <c r="M6" s="7" t="s">
        <v>21</v>
      </c>
      <c r="N6" s="9"/>
    </row>
    <row r="7" ht="22.5" customHeight="1">
      <c r="A7" s="6">
        <v>45967.577728819444</v>
      </c>
      <c r="B7" s="7" t="s">
        <v>48</v>
      </c>
      <c r="C7" s="7" t="s">
        <v>49</v>
      </c>
      <c r="D7" s="7" t="s">
        <v>48</v>
      </c>
      <c r="E7" s="7" t="s">
        <v>50</v>
      </c>
      <c r="F7" s="8">
        <v>32326.0</v>
      </c>
      <c r="G7" s="7" t="s">
        <v>51</v>
      </c>
      <c r="H7" s="7" t="s">
        <v>34</v>
      </c>
      <c r="I7" s="7" t="s">
        <v>19</v>
      </c>
      <c r="L7" s="7" t="s">
        <v>52</v>
      </c>
      <c r="M7" s="7" t="s">
        <v>21</v>
      </c>
      <c r="N7" s="9"/>
    </row>
    <row r="8" ht="22.5" customHeight="1">
      <c r="A8" s="6">
        <v>45968.38088069444</v>
      </c>
      <c r="B8" s="7" t="s">
        <v>53</v>
      </c>
      <c r="C8" s="7" t="s">
        <v>54</v>
      </c>
      <c r="D8" s="7" t="s">
        <v>53</v>
      </c>
      <c r="E8" s="7" t="s">
        <v>55</v>
      </c>
      <c r="F8" s="8">
        <v>24914.0</v>
      </c>
      <c r="G8" s="7" t="s">
        <v>56</v>
      </c>
      <c r="H8" s="7" t="s">
        <v>18</v>
      </c>
      <c r="I8" s="7" t="s">
        <v>19</v>
      </c>
      <c r="L8" s="7" t="s">
        <v>57</v>
      </c>
      <c r="M8" s="7" t="s">
        <v>21</v>
      </c>
      <c r="N8" s="9"/>
    </row>
    <row r="9" ht="22.5" customHeight="1">
      <c r="A9" s="6">
        <v>45959.60717101852</v>
      </c>
      <c r="B9" s="7" t="s">
        <v>58</v>
      </c>
      <c r="C9" s="7" t="s">
        <v>59</v>
      </c>
      <c r="D9" s="7" t="s">
        <v>58</v>
      </c>
      <c r="E9" s="7" t="s">
        <v>60</v>
      </c>
      <c r="F9" s="8">
        <v>32359.0</v>
      </c>
      <c r="G9" s="7" t="s">
        <v>61</v>
      </c>
      <c r="H9" s="7" t="s">
        <v>62</v>
      </c>
      <c r="I9" s="7" t="s">
        <v>19</v>
      </c>
      <c r="L9" s="7" t="s">
        <v>52</v>
      </c>
      <c r="M9" s="7" t="s">
        <v>21</v>
      </c>
      <c r="N9" s="9"/>
    </row>
    <row r="10" ht="22.5" customHeight="1">
      <c r="A10" s="6">
        <v>45971.48069137731</v>
      </c>
      <c r="B10" s="7" t="s">
        <v>63</v>
      </c>
      <c r="C10" s="7" t="s">
        <v>64</v>
      </c>
      <c r="D10" s="7" t="s">
        <v>63</v>
      </c>
      <c r="E10" s="7" t="s">
        <v>65</v>
      </c>
      <c r="F10" s="8">
        <v>33715.0</v>
      </c>
      <c r="G10" s="7" t="s">
        <v>66</v>
      </c>
      <c r="H10" s="7" t="s">
        <v>67</v>
      </c>
      <c r="I10" s="7" t="s">
        <v>27</v>
      </c>
      <c r="J10" s="7" t="s">
        <v>68</v>
      </c>
      <c r="M10" s="7" t="s">
        <v>21</v>
      </c>
      <c r="N10" s="9"/>
    </row>
    <row r="11" ht="22.5" customHeight="1">
      <c r="A11" s="6">
        <v>45968.362964976855</v>
      </c>
      <c r="B11" s="7" t="s">
        <v>69</v>
      </c>
      <c r="C11" s="7" t="s">
        <v>70</v>
      </c>
      <c r="D11" s="7" t="s">
        <v>71</v>
      </c>
      <c r="E11" s="7" t="s">
        <v>72</v>
      </c>
      <c r="F11" s="8">
        <v>34262.0</v>
      </c>
      <c r="G11" s="7" t="s">
        <v>73</v>
      </c>
      <c r="H11" s="7" t="s">
        <v>18</v>
      </c>
      <c r="I11" s="7" t="s">
        <v>19</v>
      </c>
      <c r="L11" s="7" t="s">
        <v>74</v>
      </c>
      <c r="M11" s="7" t="s">
        <v>21</v>
      </c>
      <c r="N11" s="9"/>
    </row>
    <row r="12" ht="22.5" customHeight="1">
      <c r="A12" s="6">
        <v>45968.603012789354</v>
      </c>
      <c r="B12" s="7" t="s">
        <v>75</v>
      </c>
      <c r="C12" s="7" t="s">
        <v>76</v>
      </c>
      <c r="D12" s="7" t="s">
        <v>75</v>
      </c>
      <c r="E12" s="7" t="s">
        <v>77</v>
      </c>
      <c r="F12" s="8">
        <v>34740.0</v>
      </c>
      <c r="G12" s="7" t="s">
        <v>78</v>
      </c>
      <c r="H12" s="7" t="s">
        <v>46</v>
      </c>
      <c r="I12" s="7" t="s">
        <v>27</v>
      </c>
      <c r="J12" s="7" t="s">
        <v>79</v>
      </c>
      <c r="M12" s="7" t="s">
        <v>21</v>
      </c>
      <c r="N12" s="9"/>
    </row>
    <row r="13" ht="22.5" customHeight="1">
      <c r="A13" s="6">
        <v>45961.521964189815</v>
      </c>
      <c r="B13" s="7" t="s">
        <v>80</v>
      </c>
      <c r="C13" s="7" t="s">
        <v>81</v>
      </c>
      <c r="D13" s="7" t="s">
        <v>82</v>
      </c>
      <c r="E13" s="7" t="s">
        <v>83</v>
      </c>
      <c r="F13" s="8">
        <v>33455.0</v>
      </c>
      <c r="G13" s="7" t="s">
        <v>84</v>
      </c>
      <c r="H13" s="7" t="s">
        <v>85</v>
      </c>
      <c r="I13" s="7" t="s">
        <v>27</v>
      </c>
      <c r="J13" s="7" t="s">
        <v>86</v>
      </c>
      <c r="M13" s="7" t="s">
        <v>21</v>
      </c>
      <c r="N13" s="9"/>
    </row>
    <row r="14" ht="22.5" customHeight="1">
      <c r="A14" s="6">
        <v>45954.59534039352</v>
      </c>
      <c r="B14" s="7" t="s">
        <v>87</v>
      </c>
      <c r="C14" s="7" t="s">
        <v>88</v>
      </c>
      <c r="D14" s="7" t="s">
        <v>87</v>
      </c>
      <c r="E14" s="7" t="s">
        <v>89</v>
      </c>
      <c r="F14" s="8">
        <v>33464.0</v>
      </c>
      <c r="G14" s="7" t="s">
        <v>90</v>
      </c>
      <c r="H14" s="7" t="s">
        <v>40</v>
      </c>
      <c r="I14" s="7" t="s">
        <v>19</v>
      </c>
      <c r="L14" s="7" t="s">
        <v>91</v>
      </c>
      <c r="M14" s="7" t="s">
        <v>21</v>
      </c>
      <c r="N14" s="9"/>
    </row>
    <row r="15" ht="22.5" customHeight="1">
      <c r="A15" s="6">
        <v>45968.6220884838</v>
      </c>
      <c r="B15" s="7" t="s">
        <v>92</v>
      </c>
      <c r="C15" s="7" t="s">
        <v>93</v>
      </c>
      <c r="D15" s="7" t="s">
        <v>94</v>
      </c>
      <c r="E15" s="7" t="s">
        <v>95</v>
      </c>
      <c r="F15" s="8">
        <v>19644.0</v>
      </c>
      <c r="G15" s="7" t="s">
        <v>96</v>
      </c>
      <c r="H15" s="7" t="s">
        <v>18</v>
      </c>
      <c r="I15" s="7" t="s">
        <v>19</v>
      </c>
      <c r="L15" s="7" t="s">
        <v>74</v>
      </c>
      <c r="M15" s="7" t="s">
        <v>21</v>
      </c>
      <c r="N15" s="9"/>
    </row>
    <row r="16" ht="22.5" customHeight="1">
      <c r="A16" s="6">
        <v>45973.47605402778</v>
      </c>
      <c r="B16" s="7" t="s">
        <v>97</v>
      </c>
      <c r="C16" s="7" t="s">
        <v>98</v>
      </c>
      <c r="D16" s="7" t="s">
        <v>99</v>
      </c>
      <c r="E16" s="7" t="s">
        <v>100</v>
      </c>
      <c r="F16" s="8">
        <v>22478.0</v>
      </c>
      <c r="G16" s="7" t="s">
        <v>101</v>
      </c>
      <c r="H16" s="7" t="s">
        <v>18</v>
      </c>
      <c r="I16" s="7" t="s">
        <v>19</v>
      </c>
      <c r="L16" s="7" t="s">
        <v>74</v>
      </c>
      <c r="M16" s="7" t="s">
        <v>21</v>
      </c>
      <c r="N16" s="9"/>
    </row>
    <row r="17" ht="22.5" customHeight="1">
      <c r="A17" s="6">
        <v>45958.50781026621</v>
      </c>
      <c r="B17" s="7" t="s">
        <v>102</v>
      </c>
      <c r="C17" s="7" t="s">
        <v>103</v>
      </c>
      <c r="D17" s="7" t="s">
        <v>102</v>
      </c>
      <c r="E17" s="7" t="s">
        <v>104</v>
      </c>
      <c r="F17" s="8">
        <v>23409.0</v>
      </c>
      <c r="G17" s="7" t="s">
        <v>105</v>
      </c>
      <c r="H17" s="7" t="s">
        <v>106</v>
      </c>
      <c r="I17" s="7" t="s">
        <v>27</v>
      </c>
      <c r="J17" s="7" t="s">
        <v>107</v>
      </c>
      <c r="M17" s="7" t="s">
        <v>21</v>
      </c>
      <c r="N17" s="9"/>
    </row>
    <row r="18" ht="22.5" customHeight="1">
      <c r="A18" s="6">
        <v>45967.63747077546</v>
      </c>
      <c r="B18" s="7" t="s">
        <v>108</v>
      </c>
      <c r="C18" s="7" t="s">
        <v>109</v>
      </c>
      <c r="D18" s="7" t="s">
        <v>108</v>
      </c>
      <c r="E18" s="7" t="s">
        <v>110</v>
      </c>
      <c r="F18" s="8">
        <v>24063.0</v>
      </c>
      <c r="G18" s="7" t="s">
        <v>111</v>
      </c>
      <c r="H18" s="7" t="s">
        <v>18</v>
      </c>
      <c r="I18" s="7" t="s">
        <v>27</v>
      </c>
      <c r="J18" s="7" t="s">
        <v>112</v>
      </c>
      <c r="M18" s="7" t="s">
        <v>21</v>
      </c>
      <c r="N18" s="9"/>
    </row>
    <row r="19" ht="22.5" customHeight="1">
      <c r="A19" s="6">
        <v>45959.60010494213</v>
      </c>
      <c r="B19" s="7" t="s">
        <v>113</v>
      </c>
      <c r="C19" s="7" t="s">
        <v>114</v>
      </c>
      <c r="D19" s="7" t="s">
        <v>113</v>
      </c>
      <c r="E19" s="7" t="s">
        <v>115</v>
      </c>
      <c r="F19" s="8">
        <v>24781.0</v>
      </c>
      <c r="G19" s="7" t="s">
        <v>116</v>
      </c>
      <c r="H19" s="7" t="s">
        <v>62</v>
      </c>
      <c r="I19" s="7" t="s">
        <v>27</v>
      </c>
      <c r="J19" s="7" t="s">
        <v>117</v>
      </c>
      <c r="K19" s="7" t="s">
        <v>118</v>
      </c>
      <c r="M19" s="7" t="s">
        <v>21</v>
      </c>
      <c r="N19" s="9"/>
    </row>
    <row r="20" ht="22.5" customHeight="1">
      <c r="A20" s="6">
        <v>45968.376218460646</v>
      </c>
      <c r="B20" s="7" t="s">
        <v>119</v>
      </c>
      <c r="C20" s="7" t="s">
        <v>120</v>
      </c>
      <c r="D20" s="7" t="s">
        <v>119</v>
      </c>
      <c r="E20" s="7" t="s">
        <v>121</v>
      </c>
      <c r="F20" s="8">
        <v>26914.0</v>
      </c>
      <c r="G20" s="7" t="s">
        <v>122</v>
      </c>
      <c r="H20" s="7" t="s">
        <v>18</v>
      </c>
      <c r="I20" s="7" t="s">
        <v>19</v>
      </c>
      <c r="L20" s="7" t="s">
        <v>123</v>
      </c>
      <c r="M20" s="7" t="s">
        <v>21</v>
      </c>
      <c r="N20" s="9"/>
    </row>
    <row r="21" ht="22.5" customHeight="1">
      <c r="A21" s="6">
        <v>45958.67338327546</v>
      </c>
      <c r="B21" s="7" t="s">
        <v>124</v>
      </c>
      <c r="C21" s="7" t="s">
        <v>125</v>
      </c>
      <c r="D21" s="7" t="s">
        <v>126</v>
      </c>
      <c r="E21" s="7" t="s">
        <v>127</v>
      </c>
      <c r="F21" s="8">
        <v>25246.0</v>
      </c>
      <c r="G21" s="7" t="s">
        <v>128</v>
      </c>
      <c r="H21" s="7" t="s">
        <v>46</v>
      </c>
      <c r="I21" s="7" t="s">
        <v>19</v>
      </c>
      <c r="L21" s="7" t="s">
        <v>129</v>
      </c>
      <c r="M21" s="7" t="s">
        <v>21</v>
      </c>
      <c r="N21" s="9"/>
    </row>
    <row r="22" ht="22.5" customHeight="1">
      <c r="A22" s="6">
        <v>45958.52046615741</v>
      </c>
      <c r="B22" s="7" t="s">
        <v>130</v>
      </c>
      <c r="C22" s="7" t="s">
        <v>131</v>
      </c>
      <c r="D22" s="7" t="s">
        <v>130</v>
      </c>
      <c r="E22" s="7" t="s">
        <v>132</v>
      </c>
      <c r="F22" s="8">
        <v>25558.0</v>
      </c>
      <c r="G22" s="7" t="s">
        <v>133</v>
      </c>
      <c r="H22" s="7" t="s">
        <v>106</v>
      </c>
      <c r="I22" s="7" t="s">
        <v>27</v>
      </c>
      <c r="J22" s="7" t="s">
        <v>134</v>
      </c>
      <c r="K22" s="7" t="s">
        <v>135</v>
      </c>
      <c r="M22" s="7" t="s">
        <v>21</v>
      </c>
      <c r="N22" s="9"/>
    </row>
    <row r="23" ht="22.5" customHeight="1">
      <c r="A23" s="6">
        <v>45968.604228067124</v>
      </c>
      <c r="B23" s="7" t="s">
        <v>136</v>
      </c>
      <c r="C23" s="7" t="s">
        <v>137</v>
      </c>
      <c r="D23" s="7" t="s">
        <v>136</v>
      </c>
      <c r="E23" s="7" t="s">
        <v>138</v>
      </c>
      <c r="F23" s="8">
        <v>25890.0</v>
      </c>
      <c r="G23" s="7" t="s">
        <v>139</v>
      </c>
      <c r="H23" s="7" t="s">
        <v>46</v>
      </c>
      <c r="I23" s="7" t="s">
        <v>27</v>
      </c>
      <c r="J23" s="7" t="s">
        <v>140</v>
      </c>
      <c r="M23" s="7" t="s">
        <v>21</v>
      </c>
      <c r="N23" s="9"/>
    </row>
    <row r="24" ht="22.5" customHeight="1">
      <c r="A24" s="10">
        <v>45954.556992349535</v>
      </c>
      <c r="B24" s="11" t="s">
        <v>141</v>
      </c>
      <c r="C24" s="11" t="s">
        <v>142</v>
      </c>
      <c r="D24" s="11" t="s">
        <v>141</v>
      </c>
      <c r="E24" s="11" t="s">
        <v>143</v>
      </c>
      <c r="F24" s="12">
        <v>27085.0</v>
      </c>
      <c r="G24" s="11" t="s">
        <v>144</v>
      </c>
      <c r="H24" s="11" t="s">
        <v>40</v>
      </c>
      <c r="I24" s="11" t="s">
        <v>27</v>
      </c>
      <c r="J24" s="11" t="s">
        <v>145</v>
      </c>
      <c r="K24" s="13"/>
      <c r="L24" s="13"/>
      <c r="M24" s="11" t="s">
        <v>21</v>
      </c>
      <c r="N24" s="9"/>
    </row>
    <row r="25" ht="22.5" customHeight="1">
      <c r="A25" s="6">
        <v>45970.34245809028</v>
      </c>
      <c r="B25" s="7" t="s">
        <v>146</v>
      </c>
      <c r="C25" s="7" t="s">
        <v>147</v>
      </c>
      <c r="D25" s="7" t="s">
        <v>146</v>
      </c>
      <c r="E25" s="7" t="s">
        <v>148</v>
      </c>
      <c r="F25" s="8">
        <v>28496.0</v>
      </c>
      <c r="G25" s="7" t="s">
        <v>149</v>
      </c>
      <c r="H25" s="7" t="s">
        <v>18</v>
      </c>
      <c r="I25" s="7" t="s">
        <v>19</v>
      </c>
      <c r="L25" s="7" t="s">
        <v>150</v>
      </c>
      <c r="M25" s="7" t="s">
        <v>21</v>
      </c>
      <c r="N25" s="9"/>
    </row>
    <row r="26" ht="22.5" customHeight="1">
      <c r="A26" s="6">
        <v>45966.65760987268</v>
      </c>
      <c r="B26" s="7" t="s">
        <v>151</v>
      </c>
      <c r="C26" s="7" t="s">
        <v>152</v>
      </c>
      <c r="D26" s="7" t="s">
        <v>153</v>
      </c>
      <c r="E26" s="7" t="s">
        <v>154</v>
      </c>
      <c r="F26" s="8">
        <v>29532.0</v>
      </c>
      <c r="G26" s="7" t="s">
        <v>155</v>
      </c>
      <c r="H26" s="7" t="s">
        <v>18</v>
      </c>
      <c r="I26" s="7" t="s">
        <v>27</v>
      </c>
      <c r="J26" s="7" t="s">
        <v>156</v>
      </c>
      <c r="K26" s="7" t="s">
        <v>157</v>
      </c>
      <c r="M26" s="7" t="s">
        <v>21</v>
      </c>
      <c r="N26" s="9"/>
    </row>
    <row r="27" ht="22.5" customHeight="1">
      <c r="A27" s="6">
        <v>45958.54382734954</v>
      </c>
      <c r="B27" s="7" t="s">
        <v>158</v>
      </c>
      <c r="C27" s="7" t="s">
        <v>159</v>
      </c>
      <c r="D27" s="7" t="s">
        <v>158</v>
      </c>
      <c r="E27" s="7" t="s">
        <v>160</v>
      </c>
      <c r="F27" s="8">
        <v>28642.0</v>
      </c>
      <c r="G27" s="7" t="s">
        <v>161</v>
      </c>
      <c r="H27" s="7" t="s">
        <v>106</v>
      </c>
      <c r="I27" s="7" t="s">
        <v>19</v>
      </c>
      <c r="L27" s="7" t="s">
        <v>162</v>
      </c>
      <c r="M27" s="7" t="s">
        <v>21</v>
      </c>
      <c r="N27" s="9"/>
    </row>
    <row r="28" ht="22.5" customHeight="1">
      <c r="A28" s="6">
        <v>45971.70102768519</v>
      </c>
      <c r="B28" s="7" t="s">
        <v>163</v>
      </c>
      <c r="C28" s="7" t="s">
        <v>164</v>
      </c>
      <c r="D28" s="7" t="s">
        <v>163</v>
      </c>
      <c r="E28" s="7" t="s">
        <v>165</v>
      </c>
      <c r="F28" s="8">
        <v>27526.0</v>
      </c>
      <c r="G28" s="7" t="s">
        <v>166</v>
      </c>
      <c r="H28" s="7" t="s">
        <v>62</v>
      </c>
      <c r="I28" s="7" t="s">
        <v>27</v>
      </c>
      <c r="J28" s="7" t="s">
        <v>167</v>
      </c>
      <c r="K28" s="7" t="s">
        <v>168</v>
      </c>
      <c r="M28" s="7" t="s">
        <v>21</v>
      </c>
      <c r="N28" s="9"/>
    </row>
    <row r="29" ht="22.5" customHeight="1">
      <c r="A29" s="6">
        <v>45975.95330862269</v>
      </c>
      <c r="B29" s="7" t="s">
        <v>169</v>
      </c>
      <c r="C29" s="7" t="s">
        <v>170</v>
      </c>
      <c r="D29" s="7" t="s">
        <v>169</v>
      </c>
      <c r="E29" s="7" t="s">
        <v>171</v>
      </c>
      <c r="F29" s="8">
        <v>28573.0</v>
      </c>
      <c r="G29" s="7" t="s">
        <v>172</v>
      </c>
      <c r="H29" s="7" t="s">
        <v>26</v>
      </c>
      <c r="I29" s="7" t="s">
        <v>27</v>
      </c>
      <c r="J29" s="7" t="s">
        <v>173</v>
      </c>
      <c r="M29" s="7" t="s">
        <v>21</v>
      </c>
      <c r="N29" s="9"/>
    </row>
    <row r="30" ht="22.5" customHeight="1">
      <c r="A30" s="6">
        <v>45971.3863429051</v>
      </c>
      <c r="B30" s="7" t="s">
        <v>174</v>
      </c>
      <c r="C30" s="7" t="s">
        <v>175</v>
      </c>
      <c r="D30" s="7" t="s">
        <v>174</v>
      </c>
      <c r="E30" s="7" t="s">
        <v>176</v>
      </c>
      <c r="F30" s="8">
        <v>30532.0</v>
      </c>
      <c r="G30" s="7" t="s">
        <v>177</v>
      </c>
      <c r="H30" s="7" t="s">
        <v>18</v>
      </c>
      <c r="I30" s="7" t="s">
        <v>19</v>
      </c>
      <c r="L30" s="7" t="s">
        <v>20</v>
      </c>
      <c r="M30" s="7" t="s">
        <v>21</v>
      </c>
      <c r="N30" s="9"/>
    </row>
    <row r="31" ht="22.5" customHeight="1">
      <c r="A31" s="6">
        <v>45974.35890216436</v>
      </c>
      <c r="B31" s="7" t="s">
        <v>178</v>
      </c>
      <c r="C31" s="7" t="s">
        <v>179</v>
      </c>
      <c r="D31" s="7" t="s">
        <v>178</v>
      </c>
      <c r="E31" s="7" t="s">
        <v>180</v>
      </c>
      <c r="F31" s="8">
        <v>28656.0</v>
      </c>
      <c r="G31" s="7" t="s">
        <v>181</v>
      </c>
      <c r="H31" s="7" t="s">
        <v>62</v>
      </c>
      <c r="I31" s="7" t="s">
        <v>19</v>
      </c>
      <c r="L31" s="7" t="s">
        <v>182</v>
      </c>
      <c r="M31" s="7" t="s">
        <v>21</v>
      </c>
      <c r="N31" s="9"/>
    </row>
    <row r="32" ht="22.5" customHeight="1">
      <c r="A32" s="6">
        <v>45968.609688125</v>
      </c>
      <c r="B32" s="7" t="s">
        <v>183</v>
      </c>
      <c r="C32" s="7" t="s">
        <v>184</v>
      </c>
      <c r="D32" s="7" t="s">
        <v>183</v>
      </c>
      <c r="E32" s="7" t="s">
        <v>185</v>
      </c>
      <c r="F32" s="8">
        <v>30811.0</v>
      </c>
      <c r="G32" s="7" t="s">
        <v>186</v>
      </c>
      <c r="H32" s="7" t="s">
        <v>46</v>
      </c>
      <c r="I32" s="7" t="s">
        <v>27</v>
      </c>
      <c r="J32" s="7" t="s">
        <v>187</v>
      </c>
      <c r="M32" s="7" t="s">
        <v>21</v>
      </c>
      <c r="N32" s="9"/>
    </row>
    <row r="33" ht="22.5" customHeight="1">
      <c r="A33" s="6">
        <v>45978.618970787036</v>
      </c>
      <c r="B33" s="7" t="s">
        <v>188</v>
      </c>
      <c r="C33" s="7" t="s">
        <v>189</v>
      </c>
      <c r="D33" s="7" t="s">
        <v>188</v>
      </c>
      <c r="E33" s="7" t="s">
        <v>190</v>
      </c>
      <c r="F33" s="8">
        <v>27479.0</v>
      </c>
      <c r="G33" s="7" t="s">
        <v>191</v>
      </c>
      <c r="H33" s="7" t="s">
        <v>192</v>
      </c>
      <c r="I33" s="7" t="s">
        <v>27</v>
      </c>
      <c r="J33" s="7" t="s">
        <v>193</v>
      </c>
      <c r="M33" s="7" t="s">
        <v>21</v>
      </c>
    </row>
    <row r="34" ht="22.5" customHeight="1">
      <c r="A34" s="6">
        <v>45978.62465996528</v>
      </c>
      <c r="B34" s="7" t="s">
        <v>194</v>
      </c>
      <c r="C34" s="7" t="s">
        <v>195</v>
      </c>
      <c r="D34" s="7" t="s">
        <v>194</v>
      </c>
      <c r="E34" s="7" t="s">
        <v>196</v>
      </c>
      <c r="F34" s="8">
        <v>35573.0</v>
      </c>
      <c r="G34" s="7" t="s">
        <v>197</v>
      </c>
      <c r="H34" s="7" t="s">
        <v>192</v>
      </c>
      <c r="I34" s="7" t="s">
        <v>27</v>
      </c>
      <c r="J34" s="7" t="s">
        <v>198</v>
      </c>
      <c r="M34" s="7" t="s">
        <v>21</v>
      </c>
    </row>
    <row r="35" ht="22.5" customHeight="1">
      <c r="A35" s="6">
        <v>45979.607789953705</v>
      </c>
      <c r="B35" s="7" t="s">
        <v>199</v>
      </c>
      <c r="C35" s="7" t="s">
        <v>200</v>
      </c>
      <c r="D35" s="7" t="s">
        <v>199</v>
      </c>
      <c r="E35" s="7" t="s">
        <v>201</v>
      </c>
      <c r="F35" s="8">
        <v>27063.0</v>
      </c>
      <c r="G35" s="7" t="s">
        <v>202</v>
      </c>
      <c r="H35" s="7" t="s">
        <v>40</v>
      </c>
      <c r="I35" s="7" t="s">
        <v>27</v>
      </c>
      <c r="J35" s="7" t="s">
        <v>203</v>
      </c>
      <c r="M35" s="7" t="s">
        <v>21</v>
      </c>
    </row>
    <row r="36" ht="22.5" customHeight="1">
      <c r="A36" s="6">
        <v>45979.609190613424</v>
      </c>
      <c r="B36" s="7" t="s">
        <v>204</v>
      </c>
      <c r="C36" s="7" t="s">
        <v>205</v>
      </c>
      <c r="D36" s="7" t="s">
        <v>204</v>
      </c>
      <c r="E36" s="7" t="s">
        <v>206</v>
      </c>
      <c r="F36" s="8">
        <v>31090.0</v>
      </c>
      <c r="G36" s="7" t="s">
        <v>207</v>
      </c>
      <c r="H36" s="7" t="s">
        <v>208</v>
      </c>
      <c r="I36" s="7" t="s">
        <v>27</v>
      </c>
      <c r="J36" s="7" t="s">
        <v>209</v>
      </c>
      <c r="M36" s="7" t="s">
        <v>21</v>
      </c>
    </row>
    <row r="37" ht="22.5" customHeight="1">
      <c r="A37" s="6">
        <v>45979.65336827547</v>
      </c>
      <c r="B37" s="7" t="s">
        <v>102</v>
      </c>
      <c r="C37" s="7" t="s">
        <v>103</v>
      </c>
      <c r="D37" s="7" t="s">
        <v>102</v>
      </c>
      <c r="E37" s="7" t="s">
        <v>104</v>
      </c>
      <c r="F37" s="8">
        <v>23409.0</v>
      </c>
      <c r="G37" s="7" t="s">
        <v>105</v>
      </c>
      <c r="H37" s="7" t="s">
        <v>106</v>
      </c>
      <c r="I37" s="7" t="s">
        <v>27</v>
      </c>
      <c r="J37" s="7" t="s">
        <v>210</v>
      </c>
      <c r="K37" s="7" t="s">
        <v>211</v>
      </c>
      <c r="M37" s="7" t="s">
        <v>21</v>
      </c>
    </row>
    <row r="38" ht="22.5" customHeight="1">
      <c r="A38" s="6">
        <v>45980.4401405324</v>
      </c>
      <c r="B38" s="7" t="s">
        <v>212</v>
      </c>
      <c r="C38" s="7" t="s">
        <v>213</v>
      </c>
      <c r="D38" s="7" t="s">
        <v>212</v>
      </c>
      <c r="E38" s="7" t="s">
        <v>214</v>
      </c>
      <c r="F38" s="8">
        <v>30802.0</v>
      </c>
      <c r="G38" s="7" t="s">
        <v>215</v>
      </c>
      <c r="H38" s="7" t="s">
        <v>216</v>
      </c>
      <c r="I38" s="7" t="s">
        <v>27</v>
      </c>
      <c r="J38" s="7" t="s">
        <v>217</v>
      </c>
      <c r="M38" s="7" t="s">
        <v>21</v>
      </c>
    </row>
    <row r="39" ht="22.5" customHeight="1">
      <c r="A39" s="6">
        <v>45980.440463321764</v>
      </c>
      <c r="B39" s="7" t="s">
        <v>218</v>
      </c>
      <c r="C39" s="7" t="s">
        <v>219</v>
      </c>
      <c r="D39" s="7" t="s">
        <v>218</v>
      </c>
      <c r="E39" s="7" t="s">
        <v>220</v>
      </c>
      <c r="F39" s="8">
        <v>24275.0</v>
      </c>
      <c r="G39" s="7" t="s">
        <v>221</v>
      </c>
      <c r="H39" s="7" t="s">
        <v>216</v>
      </c>
      <c r="I39" s="7" t="s">
        <v>27</v>
      </c>
      <c r="J39" s="7" t="s">
        <v>222</v>
      </c>
      <c r="M39" s="7" t="s">
        <v>21</v>
      </c>
    </row>
    <row r="40" ht="22.5" customHeight="1">
      <c r="A40" s="6">
        <v>45980.44523510417</v>
      </c>
      <c r="B40" s="7" t="s">
        <v>223</v>
      </c>
      <c r="C40" s="7" t="s">
        <v>224</v>
      </c>
      <c r="D40" s="7" t="s">
        <v>223</v>
      </c>
      <c r="E40" s="7" t="s">
        <v>225</v>
      </c>
      <c r="F40" s="8">
        <v>28667.0</v>
      </c>
      <c r="G40" s="7" t="s">
        <v>226</v>
      </c>
      <c r="H40" s="7" t="s">
        <v>216</v>
      </c>
      <c r="I40" s="7" t="s">
        <v>27</v>
      </c>
      <c r="J40" s="7" t="s">
        <v>227</v>
      </c>
      <c r="M40" s="7" t="s">
        <v>21</v>
      </c>
    </row>
    <row r="41" ht="22.5" customHeight="1">
      <c r="A41" s="6">
        <v>45980.60290525463</v>
      </c>
      <c r="B41" s="7" t="s">
        <v>228</v>
      </c>
      <c r="C41" s="7" t="s">
        <v>229</v>
      </c>
      <c r="D41" s="7" t="s">
        <v>228</v>
      </c>
      <c r="E41" s="7" t="s">
        <v>230</v>
      </c>
      <c r="F41" s="8">
        <v>28105.0</v>
      </c>
      <c r="G41" s="7" t="s">
        <v>231</v>
      </c>
      <c r="H41" s="7" t="s">
        <v>34</v>
      </c>
      <c r="I41" s="7" t="s">
        <v>27</v>
      </c>
      <c r="J41" s="7" t="s">
        <v>232</v>
      </c>
      <c r="M41" s="7" t="s">
        <v>21</v>
      </c>
    </row>
    <row r="42" ht="22.5" customHeight="1">
      <c r="A42" s="6">
        <v>45980.84532638889</v>
      </c>
      <c r="B42" s="7" t="s">
        <v>233</v>
      </c>
      <c r="C42" s="7" t="s">
        <v>234</v>
      </c>
      <c r="D42" s="7" t="s">
        <v>233</v>
      </c>
      <c r="E42" s="7" t="s">
        <v>235</v>
      </c>
      <c r="F42" s="8">
        <v>29934.0</v>
      </c>
      <c r="G42" s="7" t="s">
        <v>236</v>
      </c>
      <c r="H42" s="7" t="s">
        <v>34</v>
      </c>
      <c r="I42" s="7" t="s">
        <v>27</v>
      </c>
      <c r="J42" s="7" t="s">
        <v>237</v>
      </c>
      <c r="M42" s="7" t="s">
        <v>21</v>
      </c>
    </row>
    <row r="43" ht="22.5" customHeight="1">
      <c r="A43" s="6">
        <v>45980.87778170139</v>
      </c>
      <c r="B43" s="7" t="s">
        <v>238</v>
      </c>
      <c r="C43" s="7" t="s">
        <v>239</v>
      </c>
      <c r="D43" s="7" t="s">
        <v>238</v>
      </c>
      <c r="E43" s="7" t="s">
        <v>240</v>
      </c>
      <c r="F43" s="8">
        <v>27078.0</v>
      </c>
      <c r="G43" s="7" t="s">
        <v>241</v>
      </c>
      <c r="H43" s="7" t="s">
        <v>242</v>
      </c>
      <c r="I43" s="7" t="s">
        <v>27</v>
      </c>
      <c r="J43" s="7" t="s">
        <v>145</v>
      </c>
      <c r="M43" s="7" t="s">
        <v>21</v>
      </c>
    </row>
    <row r="44" ht="22.5" customHeight="1">
      <c r="A44" s="6">
        <v>45981.91603881944</v>
      </c>
      <c r="B44" s="7" t="s">
        <v>243</v>
      </c>
      <c r="C44" s="7" t="s">
        <v>244</v>
      </c>
      <c r="D44" s="7" t="s">
        <v>243</v>
      </c>
      <c r="E44" s="7" t="s">
        <v>245</v>
      </c>
      <c r="F44" s="8">
        <v>31466.0</v>
      </c>
      <c r="G44" s="7" t="s">
        <v>246</v>
      </c>
      <c r="H44" s="7" t="s">
        <v>247</v>
      </c>
      <c r="I44" s="7" t="s">
        <v>19</v>
      </c>
      <c r="L44" s="7" t="s">
        <v>52</v>
      </c>
      <c r="M44" s="7" t="s">
        <v>21</v>
      </c>
    </row>
    <row r="45" ht="22.5" customHeight="1">
      <c r="A45" s="6">
        <v>45982.42494412037</v>
      </c>
      <c r="B45" s="7" t="s">
        <v>248</v>
      </c>
      <c r="C45" s="7" t="s">
        <v>249</v>
      </c>
      <c r="D45" s="7" t="s">
        <v>248</v>
      </c>
      <c r="E45" s="7" t="s">
        <v>250</v>
      </c>
      <c r="F45" s="8">
        <v>32737.0</v>
      </c>
      <c r="G45" s="7" t="s">
        <v>251</v>
      </c>
      <c r="H45" s="7" t="s">
        <v>208</v>
      </c>
      <c r="I45" s="7" t="s">
        <v>27</v>
      </c>
      <c r="J45" s="7" t="s">
        <v>209</v>
      </c>
      <c r="M45" s="7" t="s">
        <v>21</v>
      </c>
    </row>
    <row r="46" ht="22.5" customHeight="1">
      <c r="A46" s="6">
        <v>45982.601811099536</v>
      </c>
      <c r="B46" s="7" t="s">
        <v>252</v>
      </c>
      <c r="C46" s="7" t="s">
        <v>253</v>
      </c>
      <c r="D46" s="7" t="s">
        <v>252</v>
      </c>
      <c r="E46" s="7" t="s">
        <v>254</v>
      </c>
      <c r="F46" s="8">
        <v>30454.0</v>
      </c>
      <c r="G46" s="7" t="s">
        <v>255</v>
      </c>
      <c r="H46" s="7" t="s">
        <v>247</v>
      </c>
      <c r="I46" s="7" t="s">
        <v>19</v>
      </c>
      <c r="L46" s="7" t="s">
        <v>74</v>
      </c>
      <c r="M46" s="7" t="s">
        <v>21</v>
      </c>
    </row>
    <row r="47" ht="22.5" customHeight="1">
      <c r="A47" s="6">
        <v>45982.60291001157</v>
      </c>
      <c r="B47" s="7" t="s">
        <v>256</v>
      </c>
      <c r="C47" s="7" t="s">
        <v>257</v>
      </c>
      <c r="D47" s="7" t="s">
        <v>258</v>
      </c>
      <c r="E47" s="7" t="s">
        <v>259</v>
      </c>
      <c r="F47" s="8">
        <v>31174.0</v>
      </c>
      <c r="G47" s="7" t="s">
        <v>260</v>
      </c>
      <c r="H47" s="7" t="s">
        <v>247</v>
      </c>
      <c r="I47" s="7" t="s">
        <v>19</v>
      </c>
      <c r="L47" s="7" t="s">
        <v>162</v>
      </c>
      <c r="M47" s="7" t="s">
        <v>21</v>
      </c>
    </row>
    <row r="48" ht="22.5" customHeight="1">
      <c r="A48" s="6">
        <v>45985.393260833334</v>
      </c>
      <c r="B48" s="7" t="s">
        <v>261</v>
      </c>
      <c r="C48" s="7" t="s">
        <v>262</v>
      </c>
      <c r="D48" s="7" t="s">
        <v>261</v>
      </c>
      <c r="E48" s="7" t="s">
        <v>263</v>
      </c>
      <c r="F48" s="8">
        <v>30612.0</v>
      </c>
      <c r="G48" s="7" t="s">
        <v>264</v>
      </c>
      <c r="H48" s="7" t="s">
        <v>242</v>
      </c>
      <c r="I48" s="7" t="s">
        <v>19</v>
      </c>
      <c r="L48" s="7" t="s">
        <v>265</v>
      </c>
      <c r="M48" s="7" t="s">
        <v>21</v>
      </c>
    </row>
    <row r="49" ht="22.5" customHeight="1">
      <c r="A49" s="6">
        <v>45985.72459150463</v>
      </c>
      <c r="B49" s="7" t="s">
        <v>266</v>
      </c>
      <c r="C49" s="7" t="s">
        <v>267</v>
      </c>
      <c r="D49" s="7" t="s">
        <v>266</v>
      </c>
      <c r="E49" s="7" t="s">
        <v>268</v>
      </c>
      <c r="F49" s="8">
        <v>30189.0</v>
      </c>
      <c r="G49" s="7" t="s">
        <v>269</v>
      </c>
      <c r="H49" s="7" t="s">
        <v>270</v>
      </c>
      <c r="I49" s="7" t="s">
        <v>27</v>
      </c>
      <c r="J49" s="7" t="s">
        <v>271</v>
      </c>
      <c r="K49" s="7" t="s">
        <v>272</v>
      </c>
      <c r="M49" s="7" t="s">
        <v>21</v>
      </c>
    </row>
    <row r="50" ht="22.5" customHeight="1">
      <c r="A50" s="6">
        <v>45986.42511798611</v>
      </c>
      <c r="B50" s="7" t="s">
        <v>273</v>
      </c>
      <c r="C50" s="7" t="s">
        <v>274</v>
      </c>
      <c r="D50" s="7" t="s">
        <v>273</v>
      </c>
      <c r="E50" s="7" t="s">
        <v>275</v>
      </c>
      <c r="F50" s="8">
        <v>25110.0</v>
      </c>
      <c r="G50" s="7" t="s">
        <v>276</v>
      </c>
      <c r="H50" s="7" t="s">
        <v>242</v>
      </c>
      <c r="I50" s="7" t="s">
        <v>27</v>
      </c>
      <c r="J50" s="7" t="s">
        <v>277</v>
      </c>
      <c r="M50" s="7" t="s">
        <v>21</v>
      </c>
    </row>
    <row r="51" ht="22.5" customHeight="1">
      <c r="A51" s="6">
        <v>45986.477074814815</v>
      </c>
      <c r="B51" s="7" t="s">
        <v>278</v>
      </c>
      <c r="C51" s="7" t="s">
        <v>279</v>
      </c>
      <c r="D51" s="7" t="s">
        <v>278</v>
      </c>
      <c r="E51" s="7" t="s">
        <v>280</v>
      </c>
      <c r="F51" s="8">
        <v>29945.0</v>
      </c>
      <c r="G51" s="7" t="s">
        <v>281</v>
      </c>
      <c r="H51" s="7" t="s">
        <v>40</v>
      </c>
      <c r="I51" s="7" t="s">
        <v>19</v>
      </c>
      <c r="L51" s="7" t="s">
        <v>282</v>
      </c>
      <c r="M51" s="7" t="s">
        <v>21</v>
      </c>
    </row>
    <row r="52" ht="22.5" customHeight="1">
      <c r="A52" s="6">
        <v>45986.629880277775</v>
      </c>
      <c r="B52" s="7" t="s">
        <v>283</v>
      </c>
      <c r="C52" s="7" t="s">
        <v>284</v>
      </c>
      <c r="D52" s="7" t="s">
        <v>285</v>
      </c>
      <c r="E52" s="7" t="s">
        <v>286</v>
      </c>
      <c r="F52" s="8">
        <v>32299.0</v>
      </c>
      <c r="G52" s="7" t="s">
        <v>287</v>
      </c>
      <c r="H52" s="7" t="s">
        <v>270</v>
      </c>
      <c r="I52" s="7" t="s">
        <v>19</v>
      </c>
      <c r="L52" s="7" t="s">
        <v>288</v>
      </c>
      <c r="M52" s="7" t="s">
        <v>21</v>
      </c>
    </row>
    <row r="53" ht="22.5" customHeight="1">
      <c r="A53" s="6">
        <v>45986.94331604167</v>
      </c>
      <c r="B53" s="7" t="s">
        <v>289</v>
      </c>
      <c r="C53" s="7" t="s">
        <v>290</v>
      </c>
      <c r="D53" s="7" t="s">
        <v>289</v>
      </c>
      <c r="E53" s="7" t="s">
        <v>291</v>
      </c>
      <c r="F53" s="8">
        <v>25099.0</v>
      </c>
      <c r="G53" s="7" t="s">
        <v>292</v>
      </c>
      <c r="H53" s="7" t="s">
        <v>242</v>
      </c>
      <c r="I53" s="7" t="s">
        <v>27</v>
      </c>
      <c r="J53" s="7" t="s">
        <v>293</v>
      </c>
      <c r="M53" s="7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3.5"/>
    <col customWidth="1" min="6" max="6" width="14.88"/>
    <col customWidth="1" min="10" max="10" width="31.63"/>
    <col customWidth="1" min="11" max="11" width="18.75"/>
  </cols>
  <sheetData>
    <row r="1">
      <c r="A1" s="14"/>
      <c r="B1" s="15" t="s">
        <v>294</v>
      </c>
      <c r="C1" s="16" t="s">
        <v>295</v>
      </c>
      <c r="D1" s="16" t="s">
        <v>296</v>
      </c>
      <c r="E1" s="15" t="s">
        <v>19</v>
      </c>
      <c r="F1" s="15" t="s">
        <v>27</v>
      </c>
      <c r="G1" s="15" t="s">
        <v>297</v>
      </c>
      <c r="H1" s="17"/>
      <c r="I1" s="17" t="s">
        <v>298</v>
      </c>
      <c r="J1" s="18" t="s">
        <v>299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>
      <c r="A2" s="19">
        <v>5200555.0</v>
      </c>
      <c r="B2" s="20">
        <v>45945.0</v>
      </c>
      <c r="C2" s="21" t="s">
        <v>62</v>
      </c>
      <c r="D2" s="22"/>
      <c r="E2" s="23">
        <f>COUNTIFS('Respostas ao formulário 1'!$I$2:$I$205,$E$1,'Respostas ao formulário 1'!$H$2:$H$205,$C2)</f>
        <v>2</v>
      </c>
      <c r="F2" s="23">
        <f>COUNTIFS('Respostas ao formulário 1'!$I$2:$I$205,$F$1,'Respostas ao formulário 1'!$H$2:$H$205,$C2)</f>
        <v>2</v>
      </c>
      <c r="G2" s="24">
        <f t="shared" ref="G2:G25" si="1">E2+F2</f>
        <v>4</v>
      </c>
      <c r="H2" s="25" t="str">
        <f t="shared" ref="H2:H24" si="2">CONCATENATE(E2, "/", F2)</f>
        <v>2/2</v>
      </c>
      <c r="I2" s="26" t="s">
        <v>300</v>
      </c>
      <c r="J2" s="2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>
      <c r="A3" s="28">
        <v>5202502.0</v>
      </c>
      <c r="B3" s="29">
        <v>45945.0</v>
      </c>
      <c r="C3" s="30" t="s">
        <v>247</v>
      </c>
      <c r="D3" s="31"/>
      <c r="E3" s="24">
        <f>COUNTIFS('Respostas ao formulário 1'!$I$2:$I$205,$E$1,'Respostas ao formulário 1'!$H$2:$H$205,$C3)</f>
        <v>3</v>
      </c>
      <c r="F3" s="24">
        <f>COUNTIFS('Respostas ao formulário 1'!$I$2:$I$205,$F$1,'Respostas ao formulário 1'!$H$2:$H$205,$C3)</f>
        <v>0</v>
      </c>
      <c r="G3" s="24">
        <f t="shared" si="1"/>
        <v>3</v>
      </c>
      <c r="H3" s="25" t="str">
        <f t="shared" si="2"/>
        <v>3/0</v>
      </c>
      <c r="I3" s="26" t="s">
        <v>300</v>
      </c>
      <c r="J3" s="27"/>
      <c r="K3" s="26"/>
      <c r="L3" s="2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>
      <c r="A4" s="28">
        <v>5204953.0</v>
      </c>
      <c r="B4" s="29">
        <v>45945.0</v>
      </c>
      <c r="C4" s="30" t="s">
        <v>192</v>
      </c>
      <c r="D4" s="31"/>
      <c r="E4" s="24">
        <f>COUNTIFS('Respostas ao formulário 1'!$I$2:$I$205,$E$1,'Respostas ao formulário 1'!$H$2:$H$205,$C4)</f>
        <v>0</v>
      </c>
      <c r="F4" s="24">
        <f>COUNTIFS('Respostas ao formulário 1'!$I$2:$I$205,$F$1,'Respostas ao formulário 1'!$H$2:$H$205,$C4)</f>
        <v>2</v>
      </c>
      <c r="G4" s="24">
        <f t="shared" si="1"/>
        <v>2</v>
      </c>
      <c r="H4" s="25" t="str">
        <f t="shared" si="2"/>
        <v>0/2</v>
      </c>
      <c r="I4" s="26" t="s">
        <v>300</v>
      </c>
      <c r="J4" s="2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>
      <c r="A5" s="28">
        <v>5205406.0</v>
      </c>
      <c r="B5" s="29">
        <v>45945.0</v>
      </c>
      <c r="C5" s="30" t="s">
        <v>301</v>
      </c>
      <c r="D5" s="31"/>
      <c r="E5" s="24">
        <f>COUNTIFS('Respostas ao formulário 1'!$I$2:$I$205,$E$1,'Respostas ao formulário 1'!$H$2:$H$205,$C5)</f>
        <v>0</v>
      </c>
      <c r="F5" s="24">
        <f>COUNTIFS('Respostas ao formulário 1'!$I$2:$I$205,$F$1,'Respostas ao formulário 1'!$H$2:$H$205,$C5)</f>
        <v>0</v>
      </c>
      <c r="G5" s="24">
        <f t="shared" si="1"/>
        <v>0</v>
      </c>
      <c r="H5" s="25" t="str">
        <f t="shared" si="2"/>
        <v>0/0</v>
      </c>
      <c r="I5" s="26" t="s">
        <v>300</v>
      </c>
      <c r="J5" s="27" t="s">
        <v>302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>
      <c r="A6" s="28">
        <v>5205521.0</v>
      </c>
      <c r="B6" s="29">
        <v>45945.0</v>
      </c>
      <c r="C6" s="30" t="s">
        <v>303</v>
      </c>
      <c r="D6" s="31"/>
      <c r="E6" s="24">
        <f>COUNTIFS('Respostas ao formulário 1'!$I$2:$I$205,$E$1,'Respostas ao formulário 1'!$H$2:$H$205,$C6)</f>
        <v>0</v>
      </c>
      <c r="F6" s="24">
        <f>COUNTIFS('Respostas ao formulário 1'!$I$2:$I$205,$F$1,'Respostas ao formulário 1'!$H$2:$H$205,$C6)</f>
        <v>0</v>
      </c>
      <c r="G6" s="24">
        <f t="shared" si="1"/>
        <v>0</v>
      </c>
      <c r="H6" s="25" t="str">
        <f t="shared" si="2"/>
        <v>0/0</v>
      </c>
      <c r="I6" s="26" t="s">
        <v>300</v>
      </c>
      <c r="J6" s="27" t="s">
        <v>302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>
      <c r="A7" s="32">
        <v>5206404.0</v>
      </c>
      <c r="B7" s="33">
        <v>45945.0</v>
      </c>
      <c r="C7" s="34" t="s">
        <v>40</v>
      </c>
      <c r="D7" s="35"/>
      <c r="E7" s="36">
        <f>COUNTIFS('Respostas ao formulário 1'!$I$2:$I$205,$E$1,'Respostas ao formulário 1'!$H$2:$H$205,$C7)</f>
        <v>2</v>
      </c>
      <c r="F7" s="36">
        <f>COUNTIFS('Respostas ao formulário 1'!$I$2:$I$205,$F$1,'Respostas ao formulário 1'!$H$2:$H$205,$C7)</f>
        <v>3</v>
      </c>
      <c r="G7" s="24">
        <f t="shared" si="1"/>
        <v>5</v>
      </c>
      <c r="H7" s="25" t="str">
        <f t="shared" si="2"/>
        <v>2/3</v>
      </c>
      <c r="I7" s="26" t="s">
        <v>300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>
      <c r="A8" s="28">
        <v>5207501.0</v>
      </c>
      <c r="B8" s="29">
        <v>45945.0</v>
      </c>
      <c r="C8" s="30" t="s">
        <v>208</v>
      </c>
      <c r="D8" s="31"/>
      <c r="E8" s="24">
        <f>COUNTIFS('Respostas ao formulário 1'!$I$2:$I$205,$E$1,'Respostas ao formulário 1'!$H$2:$H$205,$C8)</f>
        <v>0</v>
      </c>
      <c r="F8" s="24">
        <f>COUNTIFS('Respostas ao formulário 1'!$I$2:$I$205,$F$1,'Respostas ao formulário 1'!$H$2:$H$205,$C8)</f>
        <v>2</v>
      </c>
      <c r="G8" s="24">
        <f t="shared" si="1"/>
        <v>2</v>
      </c>
      <c r="H8" s="25" t="str">
        <f t="shared" si="2"/>
        <v>0/2</v>
      </c>
      <c r="I8" s="26" t="s">
        <v>300</v>
      </c>
      <c r="J8" s="2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>
      <c r="A9" s="28">
        <v>5208103.0</v>
      </c>
      <c r="B9" s="29">
        <v>45945.0</v>
      </c>
      <c r="C9" s="30" t="s">
        <v>304</v>
      </c>
      <c r="D9" s="31"/>
      <c r="E9" s="24">
        <f>COUNTIFS('Respostas ao formulário 1'!$I$2:$I$205,$E$1,'Respostas ao formulário 1'!$H$2:$H$205,$C9)</f>
        <v>0</v>
      </c>
      <c r="F9" s="24">
        <f>COUNTIFS('Respostas ao formulário 1'!$I$2:$I$205,$F$1,'Respostas ao formulário 1'!$H$2:$H$205,$C9)</f>
        <v>0</v>
      </c>
      <c r="G9" s="24">
        <f t="shared" si="1"/>
        <v>0</v>
      </c>
      <c r="H9" s="25" t="str">
        <f t="shared" si="2"/>
        <v>0/0</v>
      </c>
      <c r="I9" s="26" t="s">
        <v>300</v>
      </c>
      <c r="J9" s="27" t="s">
        <v>302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>
      <c r="A10" s="19">
        <v>5210158.0</v>
      </c>
      <c r="B10" s="20">
        <v>45945.0</v>
      </c>
      <c r="C10" s="21" t="s">
        <v>46</v>
      </c>
      <c r="D10" s="22"/>
      <c r="E10" s="23">
        <f>COUNTIFS('Respostas ao formulário 1'!$I$2:$I$205,$E$1,'Respostas ao formulário 1'!$H$2:$H$205,$C10)</f>
        <v>2</v>
      </c>
      <c r="F10" s="23">
        <f>COUNTIFS('Respostas ao formulário 1'!$I$2:$I$205,$F$1,'Respostas ao formulário 1'!$H$2:$H$205,$C10)</f>
        <v>3</v>
      </c>
      <c r="G10" s="24">
        <f t="shared" si="1"/>
        <v>5</v>
      </c>
      <c r="H10" s="25" t="str">
        <f t="shared" si="2"/>
        <v>2/3</v>
      </c>
      <c r="I10" s="26" t="s">
        <v>300</v>
      </c>
      <c r="J10" s="2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>
      <c r="A11" s="28">
        <v>5210901.0</v>
      </c>
      <c r="B11" s="29">
        <v>45945.0</v>
      </c>
      <c r="C11" s="30" t="s">
        <v>305</v>
      </c>
      <c r="D11" s="31"/>
      <c r="E11" s="24">
        <f>COUNTIFS('Respostas ao formulário 1'!$I$2:$I$205,$E$1,'Respostas ao formulário 1'!$H$2:$H$205,$C11)</f>
        <v>0</v>
      </c>
      <c r="F11" s="24">
        <f>COUNTIFS('Respostas ao formulário 1'!$I$2:$I$205,$F$1,'Respostas ao formulário 1'!$H$2:$H$205,$C11)</f>
        <v>0</v>
      </c>
      <c r="G11" s="24">
        <f t="shared" si="1"/>
        <v>0</v>
      </c>
      <c r="H11" s="25" t="str">
        <f t="shared" si="2"/>
        <v>0/0</v>
      </c>
      <c r="I11" s="26" t="s">
        <v>300</v>
      </c>
      <c r="J11" s="27" t="s">
        <v>302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>
      <c r="A12" s="32">
        <v>5213087.0</v>
      </c>
      <c r="B12" s="33">
        <v>45945.0</v>
      </c>
      <c r="C12" s="34" t="s">
        <v>106</v>
      </c>
      <c r="D12" s="35"/>
      <c r="E12" s="36">
        <f>COUNTIFS('Respostas ao formulário 1'!$I$2:$I$205,$E$1,'Respostas ao formulário 1'!$H$2:$H$205,$C12)</f>
        <v>1</v>
      </c>
      <c r="F12" s="36">
        <f>COUNTIFS('Respostas ao formulário 1'!$I$2:$I$205,$F$1,'Respostas ao formulário 1'!$H$2:$H$205,$C12)</f>
        <v>3</v>
      </c>
      <c r="G12" s="24">
        <f t="shared" si="1"/>
        <v>4</v>
      </c>
      <c r="H12" s="25" t="str">
        <f t="shared" si="2"/>
        <v>1/3</v>
      </c>
      <c r="I12" s="26" t="s">
        <v>300</v>
      </c>
      <c r="J12" s="2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>
      <c r="A13" s="28">
        <v>5214002.0</v>
      </c>
      <c r="B13" s="29">
        <v>45945.0</v>
      </c>
      <c r="C13" s="30" t="s">
        <v>306</v>
      </c>
      <c r="D13" s="31"/>
      <c r="E13" s="24">
        <f>COUNTIFS('Respostas ao formulário 1'!$I$2:$I$205,$E$1,'Respostas ao formulário 1'!$H$2:$H$205,$C13)</f>
        <v>0</v>
      </c>
      <c r="F13" s="24">
        <f>COUNTIFS('Respostas ao formulário 1'!$I$2:$I$205,$F$1,'Respostas ao formulário 1'!$H$2:$H$205,$C13)</f>
        <v>0</v>
      </c>
      <c r="G13" s="24">
        <f t="shared" si="1"/>
        <v>0</v>
      </c>
      <c r="H13" s="25" t="str">
        <f t="shared" si="2"/>
        <v>0/0</v>
      </c>
      <c r="I13" s="17" t="s">
        <v>307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>
      <c r="A14" s="32">
        <v>5214101.0</v>
      </c>
      <c r="B14" s="33">
        <v>45945.0</v>
      </c>
      <c r="C14" s="34" t="s">
        <v>34</v>
      </c>
      <c r="D14" s="35"/>
      <c r="E14" s="36">
        <f>COUNTIFS('Respostas ao formulário 1'!$I$2:$I$205,$E$1,'Respostas ao formulário 1'!$H$2:$H$205,$C14)</f>
        <v>1</v>
      </c>
      <c r="F14" s="36">
        <f>COUNTIFS('Respostas ao formulário 1'!$I$2:$I$205,$F$1,'Respostas ao formulário 1'!$H$2:$H$205,$C14)</f>
        <v>3</v>
      </c>
      <c r="G14" s="24">
        <f t="shared" si="1"/>
        <v>4</v>
      </c>
      <c r="H14" s="25" t="str">
        <f t="shared" si="2"/>
        <v>1/3</v>
      </c>
      <c r="I14" s="17" t="s">
        <v>307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>
      <c r="A15" s="28">
        <v>5214606.0</v>
      </c>
      <c r="B15" s="29">
        <v>45945.0</v>
      </c>
      <c r="C15" s="30" t="s">
        <v>216</v>
      </c>
      <c r="D15" s="31"/>
      <c r="E15" s="24">
        <f>COUNTIFS('Respostas ao formulário 1'!$I$2:$I$205,$E$1,'Respostas ao formulário 1'!$H$2:$H$205,$C15)</f>
        <v>0</v>
      </c>
      <c r="F15" s="24">
        <f>COUNTIFS('Respostas ao formulário 1'!$I$2:$I$205,$F$1,'Respostas ao formulário 1'!$H$2:$H$205,$C15)</f>
        <v>3</v>
      </c>
      <c r="G15" s="24">
        <f t="shared" si="1"/>
        <v>3</v>
      </c>
      <c r="H15" s="25" t="str">
        <f t="shared" si="2"/>
        <v>0/3</v>
      </c>
      <c r="I15" s="17" t="s">
        <v>307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>
      <c r="A16" s="28">
        <v>5214705.0</v>
      </c>
      <c r="B16" s="29">
        <v>45945.0</v>
      </c>
      <c r="C16" s="30" t="s">
        <v>242</v>
      </c>
      <c r="D16" s="31"/>
      <c r="E16" s="24">
        <f>COUNTIFS('Respostas ao formulário 1'!$I$2:$I$205,$E$1,'Respostas ao formulário 1'!$H$2:$H$205,$C16)</f>
        <v>1</v>
      </c>
      <c r="F16" s="24">
        <f>COUNTIFS('Respostas ao formulário 1'!$I$2:$I$205,$F$1,'Respostas ao formulário 1'!$H$2:$H$205,$C16)</f>
        <v>3</v>
      </c>
      <c r="G16" s="24">
        <f t="shared" si="1"/>
        <v>4</v>
      </c>
      <c r="H16" s="25" t="str">
        <f t="shared" si="2"/>
        <v>1/3</v>
      </c>
      <c r="I16" s="17" t="s">
        <v>307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>
      <c r="A17" s="37">
        <v>5214838.0</v>
      </c>
      <c r="B17" s="38">
        <v>45945.0</v>
      </c>
      <c r="C17" s="39" t="s">
        <v>67</v>
      </c>
      <c r="D17" s="40"/>
      <c r="E17" s="41">
        <f>COUNTIFS('Respostas ao formulário 1'!$I$2:$I$205,$E$1,'Respostas ao formulário 1'!$H$2:$H$205,$C17)</f>
        <v>0</v>
      </c>
      <c r="F17" s="41">
        <f>COUNTIFS('Respostas ao formulário 1'!$I$2:$I$205,$F$1,'Respostas ao formulário 1'!$H$2:$H$205,$C17)</f>
        <v>1</v>
      </c>
      <c r="G17" s="24">
        <f t="shared" si="1"/>
        <v>1</v>
      </c>
      <c r="H17" s="25" t="str">
        <f t="shared" si="2"/>
        <v>0/1</v>
      </c>
      <c r="I17" s="17" t="s">
        <v>307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>
      <c r="A18" s="28">
        <v>5214861.0</v>
      </c>
      <c r="B18" s="29">
        <v>45945.0</v>
      </c>
      <c r="C18" s="30" t="s">
        <v>308</v>
      </c>
      <c r="D18" s="31"/>
      <c r="E18" s="24">
        <f>COUNTIFS('Respostas ao formulário 1'!$I$2:$I$205,$E$1,'Respostas ao formulário 1'!$H$2:$H$205,$C18)</f>
        <v>0</v>
      </c>
      <c r="F18" s="24">
        <f>COUNTIFS('Respostas ao formulário 1'!$I$2:$I$205,$F$1,'Respostas ao formulário 1'!$H$2:$H$205,$C18)</f>
        <v>0</v>
      </c>
      <c r="G18" s="24">
        <f t="shared" si="1"/>
        <v>0</v>
      </c>
      <c r="H18" s="25" t="str">
        <f t="shared" si="2"/>
        <v>0/0</v>
      </c>
      <c r="I18" s="17" t="s">
        <v>307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>
      <c r="A19" s="28">
        <v>5215256.0</v>
      </c>
      <c r="B19" s="29">
        <v>45945.0</v>
      </c>
      <c r="C19" s="30" t="s">
        <v>309</v>
      </c>
      <c r="D19" s="31"/>
      <c r="E19" s="24">
        <f>COUNTIFS('Respostas ao formulário 1'!$I$2:$I$205,$E$1,'Respostas ao formulário 1'!$H$2:$H$205,$C19)</f>
        <v>0</v>
      </c>
      <c r="F19" s="24">
        <f>COUNTIFS('Respostas ao formulário 1'!$I$2:$I$205,$F$1,'Respostas ao formulário 1'!$H$2:$H$205,$C19)</f>
        <v>0</v>
      </c>
      <c r="G19" s="24">
        <f t="shared" si="1"/>
        <v>0</v>
      </c>
      <c r="H19" s="25" t="str">
        <f t="shared" si="2"/>
        <v>0/0</v>
      </c>
      <c r="I19" s="17" t="s">
        <v>307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>
      <c r="A20" s="28">
        <v>5216908.0</v>
      </c>
      <c r="B20" s="29">
        <v>45945.0</v>
      </c>
      <c r="C20" s="30" t="s">
        <v>310</v>
      </c>
      <c r="D20" s="31"/>
      <c r="E20" s="24">
        <f>COUNTIFS('Respostas ao formulário 1'!$I$2:$I$205,$E$1,'Respostas ao formulário 1'!$H$2:$H$205,$C20)</f>
        <v>0</v>
      </c>
      <c r="F20" s="24">
        <f>COUNTIFS('Respostas ao formulário 1'!$I$2:$I$205,$F$1,'Respostas ao formulário 1'!$H$2:$H$205,$C20)</f>
        <v>0</v>
      </c>
      <c r="G20" s="24">
        <f t="shared" si="1"/>
        <v>0</v>
      </c>
      <c r="H20" s="25" t="str">
        <f t="shared" si="2"/>
        <v>0/0</v>
      </c>
      <c r="I20" s="17" t="s">
        <v>307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>
      <c r="A21" s="37">
        <v>5218607.0</v>
      </c>
      <c r="B21" s="38">
        <v>45945.0</v>
      </c>
      <c r="C21" s="39" t="s">
        <v>26</v>
      </c>
      <c r="D21" s="40"/>
      <c r="E21" s="41">
        <f>COUNTIFS('Respostas ao formulário 1'!$I$2:$I$205,$E$1,'Respostas ao formulário 1'!$H$2:$H$205,$C21)</f>
        <v>0</v>
      </c>
      <c r="F21" s="41">
        <f>COUNTIFS('Respostas ao formulário 1'!$I$2:$I$205,$F$1,'Respostas ao formulário 1'!$H$2:$H$205,$C21)</f>
        <v>2</v>
      </c>
      <c r="G21" s="24">
        <f t="shared" si="1"/>
        <v>2</v>
      </c>
      <c r="H21" s="25" t="str">
        <f t="shared" si="2"/>
        <v>0/2</v>
      </c>
      <c r="I21" s="17" t="s">
        <v>307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>
      <c r="A22" s="28">
        <v>5218706.0</v>
      </c>
      <c r="B22" s="29">
        <v>45945.0</v>
      </c>
      <c r="C22" s="30" t="s">
        <v>270</v>
      </c>
      <c r="D22" s="31"/>
      <c r="E22" s="24">
        <f>COUNTIFS('Respostas ao formulário 1'!$I$2:$I$205,$E$1,'Respostas ao formulário 1'!$H$2:$H$205,$C22)</f>
        <v>1</v>
      </c>
      <c r="F22" s="24">
        <f>COUNTIFS('Respostas ao formulário 1'!$I$2:$I$205,$F$1,'Respostas ao formulário 1'!$H$2:$H$205,$C22)</f>
        <v>1</v>
      </c>
      <c r="G22" s="24">
        <f t="shared" si="1"/>
        <v>2</v>
      </c>
      <c r="H22" s="25" t="str">
        <f t="shared" si="2"/>
        <v>1/1</v>
      </c>
      <c r="I22" s="17" t="s">
        <v>307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28">
        <v>5219357.0</v>
      </c>
      <c r="B23" s="29">
        <v>45945.0</v>
      </c>
      <c r="C23" s="30" t="s">
        <v>311</v>
      </c>
      <c r="D23" s="31"/>
      <c r="E23" s="24">
        <f>COUNTIFS('Respostas ao formulário 1'!$I$2:$I$205,$E$1,'Respostas ao formulário 1'!$H$2:$H$205,$C23)</f>
        <v>0</v>
      </c>
      <c r="F23" s="24">
        <f>COUNTIFS('Respostas ao formulário 1'!$I$2:$I$205,$F$1,'Respostas ao formulário 1'!$H$2:$H$205,$C23)</f>
        <v>0</v>
      </c>
      <c r="G23" s="24">
        <f t="shared" si="1"/>
        <v>0</v>
      </c>
      <c r="H23" s="25" t="str">
        <f t="shared" si="2"/>
        <v>0/0</v>
      </c>
      <c r="I23" s="17" t="s">
        <v>307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>
      <c r="A24" s="19">
        <v>5220280.0</v>
      </c>
      <c r="B24" s="20">
        <v>45945.0</v>
      </c>
      <c r="C24" s="21" t="s">
        <v>18</v>
      </c>
      <c r="D24" s="22"/>
      <c r="E24" s="23">
        <f>COUNTIFS('Respostas ao formulário 1'!$I$2:$I$205,$E$1,'Respostas ao formulário 1'!$H$2:$H$205,$C24)</f>
        <v>8</v>
      </c>
      <c r="F24" s="23">
        <f>COUNTIFS('Respostas ao formulário 1'!$I$2:$I$205,$F$1,'Respostas ao formulário 1'!$H$2:$H$205,$C24)</f>
        <v>2</v>
      </c>
      <c r="G24" s="24">
        <f t="shared" si="1"/>
        <v>10</v>
      </c>
      <c r="H24" s="25" t="str">
        <f t="shared" si="2"/>
        <v>8/2</v>
      </c>
      <c r="I24" s="17" t="s">
        <v>307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>
      <c r="A25" s="42"/>
      <c r="B25" s="43">
        <v>45946.0</v>
      </c>
      <c r="C25" s="44" t="s">
        <v>85</v>
      </c>
      <c r="D25" s="45"/>
      <c r="E25" s="46">
        <f>COUNTIFS('Respostas ao formulário 1'!$I$2:$I$205,$E$1,'Respostas ao formulário 1'!$H$2:$H$205,$C25)</f>
        <v>0</v>
      </c>
      <c r="F25" s="46">
        <f>COUNTIFS('Respostas ao formulário 1'!$I$2:$I$205,$F$1,'Respostas ao formulário 1'!$H$2:$H$205,$C25)</f>
        <v>1</v>
      </c>
      <c r="G25" s="24">
        <f t="shared" si="1"/>
        <v>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47"/>
      <c r="B26" s="47"/>
      <c r="C26" s="47"/>
      <c r="D26" s="47"/>
      <c r="E26" s="47"/>
      <c r="F26" s="47"/>
      <c r="G26" s="4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>
      <c r="A27" s="47"/>
      <c r="B27" s="47"/>
      <c r="C27" s="47"/>
      <c r="D27" s="47"/>
      <c r="E27" s="47"/>
      <c r="F27" s="47"/>
      <c r="G27" s="4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>
      <c r="A28" s="47"/>
      <c r="B28" s="47"/>
      <c r="C28" s="47"/>
      <c r="D28" s="47"/>
      <c r="E28" s="48" t="s">
        <v>312</v>
      </c>
      <c r="F28" s="48" t="s">
        <v>27</v>
      </c>
      <c r="G28" s="48" t="s">
        <v>297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>
      <c r="A29" s="49" t="s">
        <v>313</v>
      </c>
      <c r="B29" s="50"/>
      <c r="C29" s="50"/>
      <c r="D29" s="51"/>
      <c r="E29" s="52">
        <f t="shared" ref="E29:G29" si="3">COUNTIF(E2:E24,"&gt;0")</f>
        <v>9</v>
      </c>
      <c r="F29" s="52">
        <f t="shared" si="3"/>
        <v>13</v>
      </c>
      <c r="G29" s="52">
        <f t="shared" si="3"/>
        <v>14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>
      <c r="A30" s="49" t="s">
        <v>314</v>
      </c>
      <c r="B30" s="50"/>
      <c r="C30" s="50"/>
      <c r="D30" s="51"/>
      <c r="E30" s="52">
        <f t="shared" ref="E30:G30" si="4">SUM(E2:E25)</f>
        <v>21</v>
      </c>
      <c r="F30" s="52">
        <f t="shared" si="4"/>
        <v>31</v>
      </c>
      <c r="G30" s="52">
        <f t="shared" si="4"/>
        <v>52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</row>
  </sheetData>
  <mergeCells count="2">
    <mergeCell ref="A29:D29"/>
    <mergeCell ref="A30:D30"/>
  </mergeCells>
  <conditionalFormatting sqref="G2:G25">
    <cfRule type="cellIs" dxfId="5" priority="1" operator="equal">
      <formula>0</formula>
    </cfRule>
  </conditionalFormatting>
  <drawing r:id="rId1"/>
</worksheet>
</file>