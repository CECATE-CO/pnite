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Inscritos" sheetId="2" r:id="rId6"/>
    <sheet state="visible" name="Data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5">
      <text>
        <t xml:space="preserve">O respondente atualizou este valor.</t>
      </text>
    </comment>
  </commentList>
</comments>
</file>

<file path=xl/sharedStrings.xml><?xml version="1.0" encoding="utf-8"?>
<sst xmlns="http://schemas.openxmlformats.org/spreadsheetml/2006/main" count="1155" uniqueCount="604">
  <si>
    <t>Munícipip</t>
  </si>
  <si>
    <t>Município</t>
  </si>
  <si>
    <t>Data</t>
  </si>
  <si>
    <t>Jataí (GO)</t>
  </si>
  <si>
    <t>Lagoa Santa (GO)</t>
  </si>
  <si>
    <t>Maurilândia (GO)</t>
  </si>
  <si>
    <t>Mineiros (GO)</t>
  </si>
  <si>
    <t>Montividiu (GO)</t>
  </si>
  <si>
    <t>Palestina de Goiás (GO)</t>
  </si>
  <si>
    <t>Paraíso das Águas (MS)</t>
  </si>
  <si>
    <t>Paranaíba (MS)</t>
  </si>
  <si>
    <t>Paranaiguara (GO)</t>
  </si>
  <si>
    <t>Perolândia (GO)</t>
  </si>
  <si>
    <t>Inscritos</t>
  </si>
  <si>
    <t>Piranhas (GO)</t>
  </si>
  <si>
    <t>Ponte Branca (MT)</t>
  </si>
  <si>
    <t>CACS-FUNDEB</t>
  </si>
  <si>
    <t>Porteirão (GO)</t>
  </si>
  <si>
    <t>Gestão municipal</t>
  </si>
  <si>
    <t>Portelândia (GO)</t>
  </si>
  <si>
    <t>Quirinópolis (GO)</t>
  </si>
  <si>
    <t>Ribeirãozinho (MT)</t>
  </si>
  <si>
    <t>Alcinópolis (MS)</t>
  </si>
  <si>
    <t>Rio Verde (GO)</t>
  </si>
  <si>
    <t>Santa Helena de Goiás (GO)</t>
  </si>
  <si>
    <t>Santa Rita do Araguaia (GO)</t>
  </si>
  <si>
    <t>Santo Antônio da Barra (GO)</t>
  </si>
  <si>
    <t>São Simão (GO)</t>
  </si>
  <si>
    <t>Selvíria (MS)</t>
  </si>
  <si>
    <t>Serranópolis (GO)</t>
  </si>
  <si>
    <t>Torixoréu (MT)</t>
  </si>
  <si>
    <t>Turvelândia (GO)</t>
  </si>
  <si>
    <t>Alto Araguaia (MT)</t>
  </si>
  <si>
    <t>Alto Garças (MT)</t>
  </si>
  <si>
    <t>Alto Taquari (MT)</t>
  </si>
  <si>
    <t>Amorinópolis (GO)</t>
  </si>
  <si>
    <t>Aparecida do Rio Doce (GO)</t>
  </si>
  <si>
    <t>Aparecida do Taboado (MS)</t>
  </si>
  <si>
    <t>Aporé (GO)</t>
  </si>
  <si>
    <t>Araguainha (MT)</t>
  </si>
  <si>
    <t>Arenópolis (GO)</t>
  </si>
  <si>
    <t>Carimbo de data/hora</t>
  </si>
  <si>
    <t>Cachoeira Alta (GO)</t>
  </si>
  <si>
    <t>Caçu (GO)</t>
  </si>
  <si>
    <t>Caiapônia (GO)</t>
  </si>
  <si>
    <t>Cassilândia (MS)</t>
  </si>
  <si>
    <t>Castelândia (GO)</t>
  </si>
  <si>
    <t>Chapadão do Céu (GO)</t>
  </si>
  <si>
    <t>Chapadão do Sul (MS)</t>
  </si>
  <si>
    <t>Costa Rica (MS)</t>
  </si>
  <si>
    <t>Diorama (GO)</t>
  </si>
  <si>
    <t>Doverlândia (GO)</t>
  </si>
  <si>
    <t>Endereço de e-mail</t>
  </si>
  <si>
    <t>Gouvelândia (GO)</t>
  </si>
  <si>
    <t>Inaciolândia (GO)</t>
  </si>
  <si>
    <t>Iporá (GO)</t>
  </si>
  <si>
    <t>Itajá (GO)</t>
  </si>
  <si>
    <t>Nome Completo:</t>
  </si>
  <si>
    <t>Itarumã (GO)</t>
  </si>
  <si>
    <t>Confirme o E-mail</t>
  </si>
  <si>
    <t>CPF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</si>
  <si>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</si>
  <si>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</si>
  <si>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</si>
  <si>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</si>
  <si>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</si>
  <si>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</si>
  <si>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</si>
  <si>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Confirmação de veracidade dos dados</t>
  </si>
  <si>
    <t>smedoverlandia@gmail.com</t>
  </si>
  <si>
    <t>ALZIRO ZARU PIRES DA SILVA</t>
  </si>
  <si>
    <t>323.377.011-15</t>
  </si>
  <si>
    <t>(64)98431-9400</t>
  </si>
  <si>
    <t>Chefe dos Transportadores</t>
  </si>
  <si>
    <t>Declaro que revisei e confirmo a veracidade de todas as informações prestadas neste formulário.</t>
  </si>
  <si>
    <t>sec.educacao@cachoeiraalta.go.gov.br</t>
  </si>
  <si>
    <t>luciene guimarães franco</t>
  </si>
  <si>
    <t>576.203.931-53</t>
  </si>
  <si>
    <t>(64)99615-0014</t>
  </si>
  <si>
    <t xml:space="preserve">gestora municipal de educação e cultura </t>
  </si>
  <si>
    <t>aparecidat197@gmail.com</t>
  </si>
  <si>
    <t>TANIA APARECIDA NASCIMENTO PELISARI</t>
  </si>
  <si>
    <t>037.474.671-05</t>
  </si>
  <si>
    <t>(66)99982-0064</t>
  </si>
  <si>
    <t>REPRESENTANTE DA SECRETARIA MUNICIPAL DE EDUCAÇÃO</t>
  </si>
  <si>
    <t>dorvalino1987@hotmail.com</t>
  </si>
  <si>
    <t>Dorvalino Ferreira Barros</t>
  </si>
  <si>
    <t>016.281.851-39</t>
  </si>
  <si>
    <t>(64)99907-0479</t>
  </si>
  <si>
    <t>Coordenador do Transporte Escolar</t>
  </si>
  <si>
    <t>helrigle@gnsil.com</t>
  </si>
  <si>
    <t xml:space="preserve">Meire Helrigle Goulart e Carvalho </t>
  </si>
  <si>
    <t>helrigle@gmail.com</t>
  </si>
  <si>
    <t>347.109.141-68</t>
  </si>
  <si>
    <t>(64)99626-7735</t>
  </si>
  <si>
    <t xml:space="preserve">Dirigente municipal </t>
  </si>
  <si>
    <t>357.209.141-68</t>
  </si>
  <si>
    <t>billtransporte2025@hotmail.com</t>
  </si>
  <si>
    <t>Edilson Silva Alarcão</t>
  </si>
  <si>
    <t>617.753.201-20</t>
  </si>
  <si>
    <t>(64)99947-2552</t>
  </si>
  <si>
    <t>secretário de transporte</t>
  </si>
  <si>
    <t>transporteescolar@cachoeiraalta.go.gov.br</t>
  </si>
  <si>
    <t>Bom Jesus de Goiás (GO)</t>
  </si>
  <si>
    <t>Matheus Vinícius Vieira Santos</t>
  </si>
  <si>
    <t>041.321.081-20</t>
  </si>
  <si>
    <t>(64)98133-1281</t>
  </si>
  <si>
    <t>Coordenador de Transporte</t>
  </si>
  <si>
    <t>iraneidemms@outlook.com</t>
  </si>
  <si>
    <t xml:space="preserve">Iraneide Maria de Morais Silveira </t>
  </si>
  <si>
    <t>Iraneidemms@outlook.com</t>
  </si>
  <si>
    <t>597.611.801-15</t>
  </si>
  <si>
    <t>(64)99976-5379</t>
  </si>
  <si>
    <t xml:space="preserve">Presidente </t>
  </si>
  <si>
    <t>leomarinacio22@hotmail.com</t>
  </si>
  <si>
    <t xml:space="preserve">Leomar Inácio da Silva </t>
  </si>
  <si>
    <t xml:space="preserve">leomarinacio22@hotmail.com </t>
  </si>
  <si>
    <t>698.382.671-04</t>
  </si>
  <si>
    <t>(66)99622-5784</t>
  </si>
  <si>
    <t xml:space="preserve">Coordenador do Transporte Escolar </t>
  </si>
  <si>
    <t>Iraneide Maria de Morais Silveira</t>
  </si>
  <si>
    <t>presidente</t>
  </si>
  <si>
    <t>lilianalves_pedro@hotmail.com</t>
  </si>
  <si>
    <t>Lilian Lemes Silva</t>
  </si>
  <si>
    <t>916.647.051-04</t>
  </si>
  <si>
    <t>(64)99329-9420</t>
  </si>
  <si>
    <t>Tecnica da Secretaria Municipal de Educação</t>
  </si>
  <si>
    <t>Técnica da Secretaria Municipal de Educação</t>
  </si>
  <si>
    <t>m.lucia34@hotmail.com</t>
  </si>
  <si>
    <t>Maria Lúcia Pereira dps Santos</t>
  </si>
  <si>
    <t>712.177.031-87</t>
  </si>
  <si>
    <t>(64)99318-3209</t>
  </si>
  <si>
    <t>Coordenadora do Transporte escolar</t>
  </si>
  <si>
    <t>Maria Lúcia Pereira dos Santos</t>
  </si>
  <si>
    <t>eugeniapereira845@gmail.com</t>
  </si>
  <si>
    <t>Eugenia Pereira dos Santos Souza</t>
  </si>
  <si>
    <t>877.708.651-15</t>
  </si>
  <si>
    <t>(64)99320-5025</t>
  </si>
  <si>
    <t>Conselheira</t>
  </si>
  <si>
    <t>andreoliveiralima@hormail.com</t>
  </si>
  <si>
    <t>Andre Oliveira Lima</t>
  </si>
  <si>
    <t>andreoliveiralima@hotmail.com</t>
  </si>
  <si>
    <t>857.649.141-91</t>
  </si>
  <si>
    <t>(94)98413-5970</t>
  </si>
  <si>
    <t>Presidência do Cacs Fundeb</t>
  </si>
  <si>
    <t>patysousaguerreiro@hotmail.com</t>
  </si>
  <si>
    <t xml:space="preserve">Patrícia de Sousa Guerreiro </t>
  </si>
  <si>
    <t>928.754.321-68</t>
  </si>
  <si>
    <t>(62)98603-4910</t>
  </si>
  <si>
    <t xml:space="preserve">Coordenadora Transporte Escolar </t>
  </si>
  <si>
    <t>rosangelacarolisa@hotmail.com</t>
  </si>
  <si>
    <t xml:space="preserve">Rosângela Carvalho de Oliveira Santos </t>
  </si>
  <si>
    <t>089.354.908-81</t>
  </si>
  <si>
    <t>(66)99903-2946</t>
  </si>
  <si>
    <t xml:space="preserve">Coordenadora </t>
  </si>
  <si>
    <t>joaodias.dsm@gmail.com</t>
  </si>
  <si>
    <t>Joao Dias de Freitas</t>
  </si>
  <si>
    <t>437.518.811-15</t>
  </si>
  <si>
    <t>(66)99986-8259</t>
  </si>
  <si>
    <t>Secretario Administrativo</t>
  </si>
  <si>
    <t>keiko0cmbr@gmail.com</t>
  </si>
  <si>
    <t>Thalya Aparecida Viana da silva</t>
  </si>
  <si>
    <t>066.707.531-36</t>
  </si>
  <si>
    <t>(66)99928-8083</t>
  </si>
  <si>
    <t>coordenadora geoter</t>
  </si>
  <si>
    <t>keilafreitas.pohlman@gmail.com</t>
  </si>
  <si>
    <t xml:space="preserve">Keila Martins de Freitas e Zurita Pohlman </t>
  </si>
  <si>
    <t>001.547.661-86</t>
  </si>
  <si>
    <t>(66)99634-3309</t>
  </si>
  <si>
    <t>Direção escolar</t>
  </si>
  <si>
    <t>fbnicodemos@gmail.com</t>
  </si>
  <si>
    <t>Fábio Nicodemos Domingues Moura</t>
  </si>
  <si>
    <t>886.767.261-68</t>
  </si>
  <si>
    <t>(65)99998-5617</t>
  </si>
  <si>
    <t>Técnico administrativo educacional</t>
  </si>
  <si>
    <t>daynamota321@gmail.com</t>
  </si>
  <si>
    <t>Dayana Cristina Mota</t>
  </si>
  <si>
    <t>dayanamota321@gmail.com</t>
  </si>
  <si>
    <t>016.291.261-79</t>
  </si>
  <si>
    <t>(64)98125-4179</t>
  </si>
  <si>
    <t>Secretaria Municipal de Educação</t>
  </si>
  <si>
    <t>mauricelianfarias@gmail.com</t>
  </si>
  <si>
    <t>MAURICÉLIA DO NASCIMENTO FARIAS</t>
  </si>
  <si>
    <t>938.154.091-87</t>
  </si>
  <si>
    <t>(64)99606-1526</t>
  </si>
  <si>
    <t>SECRETÁRIA DE EDUCAÇÃO</t>
  </si>
  <si>
    <t>carvalhopedagoga@hotmail.com</t>
  </si>
  <si>
    <t>Vanea Martins de Carvalho</t>
  </si>
  <si>
    <t>409.576.161-04</t>
  </si>
  <si>
    <t>(64)99259-8515</t>
  </si>
  <si>
    <t>neuma_mtv@hotmail.com</t>
  </si>
  <si>
    <t>NEUMA ANDRADE DOS SANTOS SOUZA</t>
  </si>
  <si>
    <t>001.371.251-30</t>
  </si>
  <si>
    <t>(64)99932-4754</t>
  </si>
  <si>
    <t>COORDENADORA DE GESTÃO EDUCACIONAL</t>
  </si>
  <si>
    <t>ted.mtv@hotmail.com</t>
  </si>
  <si>
    <t>ELIAS DIAS DOS SANTOS</t>
  </si>
  <si>
    <t>921.116.961-53</t>
  </si>
  <si>
    <t>(64)99611-0557</t>
  </si>
  <si>
    <t>MOTORISTA</t>
  </si>
  <si>
    <t>salesduda369@gmail.com</t>
  </si>
  <si>
    <t>MARIA EDUARDA DE SALES GOUVEIA DANTAS</t>
  </si>
  <si>
    <t>088.166.151-17</t>
  </si>
  <si>
    <t>(64)99968-6217</t>
  </si>
  <si>
    <t>DIRETORA DO TRANSPORTE ESCOLAR</t>
  </si>
  <si>
    <t>cacildahborges@gmail.com</t>
  </si>
  <si>
    <t xml:space="preserve">Cacilda Helena Borges </t>
  </si>
  <si>
    <t>Cacildahborges@gmail.com</t>
  </si>
  <si>
    <t>418.241.301-63</t>
  </si>
  <si>
    <t>(64)99931-2442</t>
  </si>
  <si>
    <t xml:space="preserve">Coordenadora Pedagógica do Transporte Escolar </t>
  </si>
  <si>
    <t>educacao@bomjesus.go.gov.br</t>
  </si>
  <si>
    <t>IRACILDA MARIA NUNES VELUTA ALVES</t>
  </si>
  <si>
    <t>576.372.531-04</t>
  </si>
  <si>
    <t>(64)98167-9305</t>
  </si>
  <si>
    <t>assessora administrativa</t>
  </si>
  <si>
    <t xml:space="preserve">ELIENE MIRANDA DA HORA  </t>
  </si>
  <si>
    <t>859.778.961-15</t>
  </si>
  <si>
    <t>(64)98134-4141</t>
  </si>
  <si>
    <t>SECRETÁRIA MUNICIPAL DE EDUCAÇÃO</t>
  </si>
  <si>
    <t>karyne.semedcr@gmail.com</t>
  </si>
  <si>
    <t xml:space="preserve">Karyne Lourraine Almeida Pádua </t>
  </si>
  <si>
    <t>051.206.131-95</t>
  </si>
  <si>
    <t>(67)98220-8179</t>
  </si>
  <si>
    <t>Alimentação do sistema sete e prestação de convênios do estado</t>
  </si>
  <si>
    <t>secretariaeducacao@cassilandia.ms.gov.br</t>
  </si>
  <si>
    <t>Gabriel Wanderley de Mendonça</t>
  </si>
  <si>
    <t>000.596.861-54</t>
  </si>
  <si>
    <t>(67)98104-4997</t>
  </si>
  <si>
    <t>Assessor Escolar</t>
  </si>
  <si>
    <t>transporteescolardecassilandia@gmail.com</t>
  </si>
  <si>
    <t>Romeu Goulart da Silva</t>
  </si>
  <si>
    <t>312.097.501-04</t>
  </si>
  <si>
    <t>(67)98129-2310</t>
  </si>
  <si>
    <t>Escriturário</t>
  </si>
  <si>
    <t>franzwillians@gmail.com</t>
  </si>
  <si>
    <t>FRANZ WILLIANS COIMBRA MARTINS</t>
  </si>
  <si>
    <t>851.073.361-91</t>
  </si>
  <si>
    <t>(67)99337-0272</t>
  </si>
  <si>
    <t>CHEFE DE DIVISÃO DO TRANSPORTE ESCOLAR</t>
  </si>
  <si>
    <t>keily_nunes@hotmail.com</t>
  </si>
  <si>
    <t xml:space="preserve">Keily Junior Almeida Nunes </t>
  </si>
  <si>
    <t>Keily_nunes@hotmail.com</t>
  </si>
  <si>
    <t>977.467.621-15</t>
  </si>
  <si>
    <t>(67)99603-1501</t>
  </si>
  <si>
    <t>Coordenador transporte escolar</t>
  </si>
  <si>
    <t xml:space="preserve">Oficina própria </t>
  </si>
  <si>
    <t>auxmary@hotmail.com</t>
  </si>
  <si>
    <t>Maria Auxiliadora Nascimento Vilas Boas</t>
  </si>
  <si>
    <t xml:space="preserve">auxmary@hotmail.com </t>
  </si>
  <si>
    <t>004.541.661-33</t>
  </si>
  <si>
    <t>(64)99966-2829</t>
  </si>
  <si>
    <t xml:space="preserve">secretária </t>
  </si>
  <si>
    <t>lauraandrine@gmail.com</t>
  </si>
  <si>
    <t xml:space="preserve">Laura Andrade Silva Neves </t>
  </si>
  <si>
    <t>032.976.791-74</t>
  </si>
  <si>
    <t>(64)99660-4774</t>
  </si>
  <si>
    <t xml:space="preserve">Transporte escolar </t>
  </si>
  <si>
    <t>032.976.792-74</t>
  </si>
  <si>
    <t>rogergmartins@hotmail.com</t>
  </si>
  <si>
    <t>Rogério Gomes Martins</t>
  </si>
  <si>
    <t>024.398.821-43</t>
  </si>
  <si>
    <t>(64)97400-8118</t>
  </si>
  <si>
    <t xml:space="preserve">Administrativo </t>
  </si>
  <si>
    <t>PG2636236@gmail.com</t>
  </si>
  <si>
    <t>paulo gomes silva</t>
  </si>
  <si>
    <t>pg2636326@gmail.com</t>
  </si>
  <si>
    <t>037.728.231-65</t>
  </si>
  <si>
    <t>(64)99326-4112</t>
  </si>
  <si>
    <t>Administrativo</t>
  </si>
  <si>
    <t>alesangil@hotmail.com</t>
  </si>
  <si>
    <t>ALESSANDRA QUEIROZ BARROS FUNES</t>
  </si>
  <si>
    <t>580.756.401-44</t>
  </si>
  <si>
    <t>(66)99603-4149</t>
  </si>
  <si>
    <t>TECNICA ADMINISTRATIVA EDUCACIONAL</t>
  </si>
  <si>
    <t>educacao@altogarcas.mt.gov.br</t>
  </si>
  <si>
    <t>ROSILENE CEZAR L'ASTORINA</t>
  </si>
  <si>
    <t>458.386.741-72</t>
  </si>
  <si>
    <t>(66)99214-1717</t>
  </si>
  <si>
    <t>PATRICIA DE SOUSA GUERREIRO</t>
  </si>
  <si>
    <t>Coordenação do Transporte Escolar</t>
  </si>
  <si>
    <t>A gestão do transporte escolar em nosso município tem apresentado avanços significativos por meio da organização das rotas, acompanhamento diário dos serviços e melhoria na comunicação com motoristas, monitores e responsáveis pelos alunos.
Como caso de sucesso, destaca-se a implementação do sistema SETE - Sistema Eletrônico de Gestão do Transporte Escolar, que permitiu maior controle e transparência na execução dos serviços. Com a utilização da ferramenta, foi possível manter o cadastro atualizado dos alunos.</t>
  </si>
  <si>
    <t>contatonmarcario@gmail.com</t>
  </si>
  <si>
    <t>Nataniel Marcario Fernandes</t>
  </si>
  <si>
    <t>057.458.231-27</t>
  </si>
  <si>
    <t>(64)99282-9618</t>
  </si>
  <si>
    <t>PARANAÍTA</t>
  </si>
  <si>
    <t>Analista de Transporte Escolar</t>
  </si>
  <si>
    <t>luizcfn@hotmail.com</t>
  </si>
  <si>
    <t>Luiz Henrique de Barros</t>
  </si>
  <si>
    <t>305.957.328-01</t>
  </si>
  <si>
    <t>(64)99211-5833</t>
  </si>
  <si>
    <t>Presidente</t>
  </si>
  <si>
    <t>SANTA CRUZ DO XINGU</t>
  </si>
  <si>
    <t>edileneburatto@itaruma.go.gov.br</t>
  </si>
  <si>
    <t>Edilene Buratto Leme</t>
  </si>
  <si>
    <t>098.312.648-86</t>
  </si>
  <si>
    <t>(64)98102-6792</t>
  </si>
  <si>
    <t>NOVA BANDEIRANTES</t>
  </si>
  <si>
    <t>Secretária Municipal de Educação</t>
  </si>
  <si>
    <t>paulo_sergio.brasil@hotmail.com</t>
  </si>
  <si>
    <t>PAULO SÉRGIO BRASIL</t>
  </si>
  <si>
    <t>861.116.989-15</t>
  </si>
  <si>
    <t>(64)99924-8149</t>
  </si>
  <si>
    <t>NOVA MONTE VERDE</t>
  </si>
  <si>
    <t>Diretor do Transporte Escolar</t>
  </si>
  <si>
    <t>maicon.chakal@hotmail.com</t>
  </si>
  <si>
    <t xml:space="preserve">Maicon de Souza </t>
  </si>
  <si>
    <t>010.830.360-84</t>
  </si>
  <si>
    <t>(64)99676-3941</t>
  </si>
  <si>
    <t>SÃO JOSÉ DO XINGU</t>
  </si>
  <si>
    <t>Assessor 1</t>
  </si>
  <si>
    <t>matheusmellopf@gmail.com</t>
  </si>
  <si>
    <t>Matheus Mello</t>
  </si>
  <si>
    <t>067.414.661-18</t>
  </si>
  <si>
    <t>(64)99322-6749</t>
  </si>
  <si>
    <t>Total</t>
  </si>
  <si>
    <t xml:space="preserve">Diretor do transporte escolar </t>
  </si>
  <si>
    <t>poratofranca@gmail.com</t>
  </si>
  <si>
    <t>Thierry França Porato</t>
  </si>
  <si>
    <t>026.709.111-70</t>
  </si>
  <si>
    <t>(67)98406-6019</t>
  </si>
  <si>
    <t xml:space="preserve">Secretário </t>
  </si>
  <si>
    <t>simonevelda05@gmail.com</t>
  </si>
  <si>
    <t>Simone Velda Gonçalves</t>
  </si>
  <si>
    <t>Munípios Inscritos</t>
  </si>
  <si>
    <t>778.055.001-00</t>
  </si>
  <si>
    <t>(64)98139-9051</t>
  </si>
  <si>
    <t>Secretaria das escolas municipais</t>
  </si>
  <si>
    <t>CACs - Data 29/04/2026</t>
  </si>
  <si>
    <t>Gestores - Data 29/04/2026</t>
  </si>
  <si>
    <t>CACs - Data 30/04/2026</t>
  </si>
  <si>
    <t>Gestores - Data 30/04/2026</t>
  </si>
  <si>
    <t>CACs - Sem data</t>
  </si>
  <si>
    <t>Gestores -Sem data</t>
  </si>
  <si>
    <t>analucianasser21@gmail.com</t>
  </si>
  <si>
    <t>Ana Lucia Pereira Macedo de Oliveira</t>
  </si>
  <si>
    <t>884.849.711-04</t>
  </si>
  <si>
    <t>(64)98405-5668</t>
  </si>
  <si>
    <t>representante no CACS FUNDEB</t>
  </si>
  <si>
    <t>liliaeeliomar@gmail.com</t>
  </si>
  <si>
    <t>Lilia Martins dos Anjos Goulart</t>
  </si>
  <si>
    <t>908.818.771-15</t>
  </si>
  <si>
    <t>(64)98432-9430</t>
  </si>
  <si>
    <t>coordenadora do transporte escolar</t>
  </si>
  <si>
    <t>DANILOLEALTHEO@GMAIL.COM</t>
  </si>
  <si>
    <t>ANA CRISTINA RODRIGUES VIEIRA</t>
  </si>
  <si>
    <t>038.224.521-06</t>
  </si>
  <si>
    <t>(64)99952-6229</t>
  </si>
  <si>
    <t>COORDENADORA TRANSCOLAR E TECNICA TRANSCOLAR</t>
  </si>
  <si>
    <t>veramaro.pl@gmail.com</t>
  </si>
  <si>
    <t xml:space="preserve">Vera Lúcia Gonçalves de Amaro </t>
  </si>
  <si>
    <t>215.765.991-91</t>
  </si>
  <si>
    <t>(62)99178-2063</t>
  </si>
  <si>
    <t>A regularidade ao atendimento diário aos alunos da zona rural.</t>
  </si>
  <si>
    <t>claudionoruniao@hotmail.com</t>
  </si>
  <si>
    <t>CLAUDIONOR ARANTE FIGUEIREDO</t>
  </si>
  <si>
    <t>781.534.411-91</t>
  </si>
  <si>
    <t>(66)99962-1112</t>
  </si>
  <si>
    <t>anapfsrvenancio@gmail.com</t>
  </si>
  <si>
    <t>Ana Paula Ferreira da Silva Rodrigues</t>
  </si>
  <si>
    <t>712.853.541-17</t>
  </si>
  <si>
    <t>(64)98420-1516</t>
  </si>
  <si>
    <t>Agente de Assessoramento Administrativo</t>
  </si>
  <si>
    <t>thediegomartins@gmail.com</t>
  </si>
  <si>
    <t>DIEGO MARTINS OLIVEIRA FERREIRA</t>
  </si>
  <si>
    <t>thediegomartins@hotmail.com</t>
  </si>
  <si>
    <t>047.528.681-21</t>
  </si>
  <si>
    <t>(64)99316-7741</t>
  </si>
  <si>
    <t>Diretor de Transporte Escolar</t>
  </si>
  <si>
    <t>morais_125@hotmail.com</t>
  </si>
  <si>
    <t>RONAN MORAIS DA SILVA</t>
  </si>
  <si>
    <t>307.952.491-87</t>
  </si>
  <si>
    <t>(64)99623-3400</t>
  </si>
  <si>
    <t>Conselheiro</t>
  </si>
  <si>
    <t>fabiola1cardoso@yahoo.com.br</t>
  </si>
  <si>
    <t>Fabíola dos Santos Cardoso</t>
  </si>
  <si>
    <t xml:space="preserve">fabiola1cardoso@yahoo.com.br </t>
  </si>
  <si>
    <t>898.195.191-87</t>
  </si>
  <si>
    <t>(64)99255-7083</t>
  </si>
  <si>
    <t>Representante da Sociedade Civil</t>
  </si>
  <si>
    <t>danielandrade2699@gmail.com</t>
  </si>
  <si>
    <t>Daniel Dos Santos Andrade</t>
  </si>
  <si>
    <t>705.675.331-07</t>
  </si>
  <si>
    <t>(62)98468-6197</t>
  </si>
  <si>
    <t>São Miguel do Araguaia (GO)</t>
  </si>
  <si>
    <t xml:space="preserve">Técnico de informática </t>
  </si>
  <si>
    <t>enivaldo.alves@saomigueldoaraguaia.go.gov.br</t>
  </si>
  <si>
    <t>Enivaldo Alves da Silva</t>
  </si>
  <si>
    <t>547.129.201-49</t>
  </si>
  <si>
    <t>(62)99613-9086</t>
  </si>
  <si>
    <t>zilmarpereira660@gmail.com</t>
  </si>
  <si>
    <t xml:space="preserve">Zilmar Pereira de Oliveira </t>
  </si>
  <si>
    <t>845.274.551-68</t>
  </si>
  <si>
    <t>(62)99683-2085</t>
  </si>
  <si>
    <t xml:space="preserve">Gestor de transporte escolar </t>
  </si>
  <si>
    <t>lucianaaguiar06@gmail.com</t>
  </si>
  <si>
    <t>LUCIANA AGUIAR</t>
  </si>
  <si>
    <t>623.635.571-15</t>
  </si>
  <si>
    <t>(64)99222-1972</t>
  </si>
  <si>
    <t>Assessora da SEMEC</t>
  </si>
  <si>
    <t>sandrarodriguesvenancio2013@gmail.com</t>
  </si>
  <si>
    <t xml:space="preserve">Sandra Rodrigues Venancio </t>
  </si>
  <si>
    <t>980.610.201-06</t>
  </si>
  <si>
    <t>(64)99213-8328</t>
  </si>
  <si>
    <t xml:space="preserve">Coordenadora de Prestação de contas </t>
  </si>
  <si>
    <t>marcosuchiha51@gmail.com</t>
  </si>
  <si>
    <t>Simão Marcos Magalhães Tavares</t>
  </si>
  <si>
    <t>038.970.461-05</t>
  </si>
  <si>
    <t>(62)99105-2432</t>
  </si>
  <si>
    <t>Executor Administrativo</t>
  </si>
  <si>
    <t>No município de Turvelândia, a gestão do transporte escolar tem buscado aprimorar continuamente a organização das rotas e o atendimento aos alunos, garantindo maior eficiência e segurança.
Como destaque, houve a reorganização das rotas com base na realidade dos estudantes, otimizando o tempo de deslocamento e reduzindo custos operacionais. Além disso, são realizadas verificações periódicas nos veículos e acompanhamento dos motoristas, visando assegurar a qualidade do serviço prestado.
Essas ações têm contribuído para maior pontualidade, redução de problemas operacionais e melhoria no acesso dos alunos à escola.</t>
  </si>
  <si>
    <t>tatiane_mdl@outlook.com</t>
  </si>
  <si>
    <t xml:space="preserve">Tatiane Martins Dutra Lima </t>
  </si>
  <si>
    <t>898.578.601-68</t>
  </si>
  <si>
    <t>(64)98138-1180</t>
  </si>
  <si>
    <t>Dirigente</t>
  </si>
  <si>
    <t>cf7719941@gmail.com</t>
  </si>
  <si>
    <t xml:space="preserve">Carlos Fernando Araujo Souza </t>
  </si>
  <si>
    <t>439.909.166-53</t>
  </si>
  <si>
    <t>(64)99260-5507</t>
  </si>
  <si>
    <t>Diretor de Transporte</t>
  </si>
  <si>
    <t xml:space="preserve">CARLOS FERNANDO ARAUJO SOUZA	</t>
  </si>
  <si>
    <t>valgde2009@gmail.com</t>
  </si>
  <si>
    <t>VALDIRENE CLAUDIA DA SILVA OLIVEIRA</t>
  </si>
  <si>
    <t>801.552.551-49</t>
  </si>
  <si>
    <t>(64)98171-2329</t>
  </si>
  <si>
    <t>SECRETÁRIA DA EDUCAÇÃO</t>
  </si>
  <si>
    <t>ricardo49aline43@gmail.com</t>
  </si>
  <si>
    <t xml:space="preserve">Ricardo Ramire Gonçalves </t>
  </si>
  <si>
    <t>253.726.638-20</t>
  </si>
  <si>
    <t>(64)99610-0273</t>
  </si>
  <si>
    <t xml:space="preserve">Representante dos Professores </t>
  </si>
  <si>
    <t>thaissa012@gmail.com</t>
  </si>
  <si>
    <t xml:space="preserve">Thaissa Oliveira Pereira </t>
  </si>
  <si>
    <t>005.670.581-66</t>
  </si>
  <si>
    <t>(64)99205-5234</t>
  </si>
  <si>
    <t>Auxiliar administrativo (Prestação de conta)</t>
  </si>
  <si>
    <t>educacao@castelandia.go.gov.br</t>
  </si>
  <si>
    <t xml:space="preserve">Maria Solange De Moura Leite Juvencio </t>
  </si>
  <si>
    <t>395.189.906-97</t>
  </si>
  <si>
    <t>(64)99259-5961</t>
  </si>
  <si>
    <t xml:space="preserve">Secretária de Educação </t>
  </si>
  <si>
    <t>gomesrosaherica@gmail.com</t>
  </si>
  <si>
    <t>Rosa Hérica Rodrigues Gomes</t>
  </si>
  <si>
    <t>950.481.201-59</t>
  </si>
  <si>
    <t>(64)99253-8339</t>
  </si>
  <si>
    <t>seduc.coordtranspescolar@mineiros.go.gov.br</t>
  </si>
  <si>
    <t xml:space="preserve">Jairo Antônio Ribeiro Júnior </t>
  </si>
  <si>
    <t>024.415.541-07</t>
  </si>
  <si>
    <t>(64)99228-3848</t>
  </si>
  <si>
    <t xml:space="preserve">Diretor de Transporte </t>
  </si>
  <si>
    <t>julianouniver1251@hotmail.com</t>
  </si>
  <si>
    <t xml:space="preserve">Juliano Aparecido Pereira de Lima </t>
  </si>
  <si>
    <t>035.637.031-32</t>
  </si>
  <si>
    <t>(64)99929-0695</t>
  </si>
  <si>
    <t>Chefe do Transporte Escolar</t>
  </si>
  <si>
    <t>transportes@selviria.ms.gov.br</t>
  </si>
  <si>
    <t>GEVANILDO LUIS DE ALMEIDA</t>
  </si>
  <si>
    <t xml:space="preserve">transportes@selviria.ms.gov.br </t>
  </si>
  <si>
    <t>009.210.101-17</t>
  </si>
  <si>
    <t>(67)99349-6915</t>
  </si>
  <si>
    <t xml:space="preserve">Secretario  Municipal de  Transporte </t>
  </si>
  <si>
    <t xml:space="preserve">Criamos um metido de controle de km eficaz. </t>
  </si>
  <si>
    <t>Carlos Roberto da Silva</t>
  </si>
  <si>
    <t>502.179.921-53</t>
  </si>
  <si>
    <t>(67)98187-0627</t>
  </si>
  <si>
    <t>Subsecretrio-adjunto Municipal de transporte</t>
  </si>
  <si>
    <t>oficina municipal</t>
  </si>
  <si>
    <t>LYNIKER NUNES MARTINS</t>
  </si>
  <si>
    <t>022.869.991-63</t>
  </si>
  <si>
    <t>(64)99278-5061</t>
  </si>
  <si>
    <t>viniciusbarreti97@gmail.com</t>
  </si>
  <si>
    <t>Vinícius Silva Barreti</t>
  </si>
  <si>
    <t>461.399.568-03</t>
  </si>
  <si>
    <t>(18)98120-5553</t>
  </si>
  <si>
    <t>Fiscal</t>
  </si>
  <si>
    <t>fernandesdesouzajoaoguilherme@gmail.com</t>
  </si>
  <si>
    <t>João Guilherme Fernandes de Souza</t>
  </si>
  <si>
    <t>063.467.131-67</t>
  </si>
  <si>
    <t>(67)98434-4615</t>
  </si>
  <si>
    <t>Chefe de Divisão de Convênios</t>
  </si>
  <si>
    <t>glauciadasilvaclaro48870@gmail.com</t>
  </si>
  <si>
    <t>Glaucia da Silva Claro</t>
  </si>
  <si>
    <t>032.805.461-50</t>
  </si>
  <si>
    <t>(67)98128-3780</t>
  </si>
  <si>
    <t>transporte.semedpba@gmail.com</t>
  </si>
  <si>
    <t>Eder Vinicius de Paula Rezende</t>
  </si>
  <si>
    <t>003.778.771-31</t>
  </si>
  <si>
    <t>(67)98150-8000</t>
  </si>
  <si>
    <t>Supervisor transporte escolar</t>
  </si>
  <si>
    <t>aurobernardinodepaula@gmail.com</t>
  </si>
  <si>
    <t>AURO BERNARDINO DE PAULA JUNIOR</t>
  </si>
  <si>
    <t>068.834.161-61</t>
  </si>
  <si>
    <t>(67)99992-0544</t>
  </si>
  <si>
    <t xml:space="preserve">Agente administrativo </t>
  </si>
  <si>
    <t>spfranca1@hotmail.com</t>
  </si>
  <si>
    <t xml:space="preserve">Sebastião Pereira França </t>
  </si>
  <si>
    <t>213.586.301-78</t>
  </si>
  <si>
    <t>(64)99644-4983</t>
  </si>
  <si>
    <t xml:space="preserve">Auxiliar do departamento de transporte </t>
  </si>
  <si>
    <t>elis.scabral04@gmail.com</t>
  </si>
  <si>
    <t>Elisangela Santana Cabral</t>
  </si>
  <si>
    <t>010.908.131-55</t>
  </si>
  <si>
    <t>(63)99241-0537</t>
  </si>
  <si>
    <t>Gerente do Transporte Escolar</t>
  </si>
  <si>
    <t>rodrigofcar@hotmail.com</t>
  </si>
  <si>
    <t xml:space="preserve">Rodrigo Franco de Carvalho </t>
  </si>
  <si>
    <t>412.635.701-78</t>
  </si>
  <si>
    <t>(64)99626-4267</t>
  </si>
  <si>
    <t xml:space="preserve">Presidente do FUNDEB </t>
  </si>
  <si>
    <t>jeffersonpascoaloto@gmail.com</t>
  </si>
  <si>
    <t xml:space="preserve">Jefferson Douglas Pascoaloto </t>
  </si>
  <si>
    <t>511.497.531-53</t>
  </si>
  <si>
    <t>(67)99992-1112</t>
  </si>
  <si>
    <t>Dir.Dep.Planej.Orç.eCompras/Educação</t>
  </si>
  <si>
    <t xml:space="preserve">Repasse de veículos do programa caminho da escola </t>
  </si>
  <si>
    <t>sabrina17nunes@gmail.com</t>
  </si>
  <si>
    <t>SABRINA NUNES MOREIRA</t>
  </si>
  <si>
    <t>053.853.781-78</t>
  </si>
  <si>
    <t>(64)98153-6833</t>
  </si>
  <si>
    <t>Assessora</t>
  </si>
  <si>
    <t>roger.2128@hotmail.com</t>
  </si>
  <si>
    <t>Rogerio Pereira da Silva</t>
  </si>
  <si>
    <t>815.001.301-68</t>
  </si>
  <si>
    <t>(64)99324-9010</t>
  </si>
  <si>
    <t>Técnico - Professor</t>
  </si>
  <si>
    <t>elissandrarsm78@gmail.com</t>
  </si>
  <si>
    <t>Elissandra Rodrigues da Silva</t>
  </si>
  <si>
    <t>862.933.541-68</t>
  </si>
  <si>
    <t>(64)98421-5787</t>
  </si>
  <si>
    <t>secretaria escolar</t>
  </si>
  <si>
    <t>messiasselmahelena@gmail.com</t>
  </si>
  <si>
    <t>Selma Helena Messias Silva</t>
  </si>
  <si>
    <t>591.051.271-49</t>
  </si>
  <si>
    <t>(64)98431-3368</t>
  </si>
  <si>
    <t>secretaria de escola</t>
  </si>
  <si>
    <t>maryelenunes@gmail.com</t>
  </si>
  <si>
    <t>Maryele Nunes Menezes</t>
  </si>
  <si>
    <t>033.475.211-61</t>
  </si>
  <si>
    <t>(64)98448-2648</t>
  </si>
  <si>
    <t>Gerente de Apoio adm transporte escolar</t>
  </si>
  <si>
    <t>kristiano639@gmail.com</t>
  </si>
  <si>
    <t>Kristiano Freire Sobrinho</t>
  </si>
  <si>
    <t>639.143.011-04</t>
  </si>
  <si>
    <t>(64)99986-6359</t>
  </si>
  <si>
    <t>Coordenação</t>
  </si>
  <si>
    <t>rosinhaeducalg_2015@hotmil.com</t>
  </si>
  <si>
    <t>Rosa Maria da Silva Paião</t>
  </si>
  <si>
    <t>rosinhaeducalg_2015@hotmail.com</t>
  </si>
  <si>
    <t>806.600.291-20</t>
  </si>
  <si>
    <t>(64)99969-7159</t>
  </si>
  <si>
    <t>Secretária de Educação</t>
  </si>
  <si>
    <t>educaca@lagoasanta.go.gov.br</t>
  </si>
  <si>
    <t>Edgar Venute Miranda</t>
  </si>
  <si>
    <t>educacao@lagoasanta.go.gov.br</t>
  </si>
  <si>
    <t>070.599.438-46</t>
  </si>
  <si>
    <t>(64)99906-3687</t>
  </si>
  <si>
    <t>presidente cacs-fundeb</t>
  </si>
  <si>
    <t>delmairlima07@gmail.com</t>
  </si>
  <si>
    <t>Delmair Rosa de Lima</t>
  </si>
  <si>
    <t>007.130.321-97</t>
  </si>
  <si>
    <t>(64)99627-7794</t>
  </si>
  <si>
    <t>Técnico SME</t>
  </si>
  <si>
    <t>carlos_cesar_reis@hotmail.com</t>
  </si>
  <si>
    <t xml:space="preserve">Carlos Cesar dos Reis </t>
  </si>
  <si>
    <t>529.797.411-91</t>
  </si>
  <si>
    <t>(64)99242-0051</t>
  </si>
  <si>
    <t xml:space="preserve">Gerente do Transporte Escolar </t>
  </si>
  <si>
    <t>marciadourado2019@gmail.com</t>
  </si>
  <si>
    <t>Márcia Cândido Dourado</t>
  </si>
  <si>
    <t>597.758.231-53</t>
  </si>
  <si>
    <t>(64)99607-9709</t>
  </si>
  <si>
    <t>marilaineoliveira4@gmail.com</t>
  </si>
  <si>
    <t>Marilaine Batista de Oliveira</t>
  </si>
  <si>
    <t>945.864.621-91</t>
  </si>
  <si>
    <t>(64)99965-1691</t>
  </si>
  <si>
    <t>Membro</t>
  </si>
  <si>
    <t>karolinadepaula64@gmail.com</t>
  </si>
  <si>
    <t xml:space="preserve">Keroleny de Paula Vieira </t>
  </si>
  <si>
    <t>053.494.421-39</t>
  </si>
  <si>
    <t>(64)99219-4889</t>
  </si>
  <si>
    <t>Administrativo da Secretaria Municipal de Transporte</t>
  </si>
  <si>
    <t>gabrielassisfrutuoso@gmail.com</t>
  </si>
  <si>
    <t xml:space="preserve">Gabriel Frutuoso Assis Moraes </t>
  </si>
  <si>
    <t>039.855.261-41</t>
  </si>
  <si>
    <t>(64)99937-6474</t>
  </si>
  <si>
    <t>Técnico - SME</t>
  </si>
  <si>
    <t>mariatt2silva@gmail.com</t>
  </si>
  <si>
    <t>Maria de Lourdes Silva</t>
  </si>
  <si>
    <t>mariatt2ailva@gmail.com</t>
  </si>
  <si>
    <t>510.305.351-91</t>
  </si>
  <si>
    <t>(64)98406-3686</t>
  </si>
  <si>
    <t>Técnica da SMEC</t>
  </si>
  <si>
    <t>gabyamg89@icloud.com</t>
  </si>
  <si>
    <t xml:space="preserve">Gabriela Gouveia Gonçalves </t>
  </si>
  <si>
    <t>Gabyamg89@icloud.com</t>
  </si>
  <si>
    <t>032.749.621-55</t>
  </si>
  <si>
    <t>(64)99224-6940</t>
  </si>
  <si>
    <t xml:space="preserve">Chefe de equipe </t>
  </si>
  <si>
    <t>leticiazvdo@hotmail.com</t>
  </si>
  <si>
    <t xml:space="preserve">Leticia Marques Azevedo </t>
  </si>
  <si>
    <t>001.957.831-82</t>
  </si>
  <si>
    <t>(64)99217-9257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</si>
</sst>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/d/yyyy h:mm:ss"/>
  </numFmts>
  <fonts count="8">
    <font>
      <sz val="10.0"/>
      <color rgb="FF000000"/>
      <name val="Arial"/>
      <scheme val="minor"/>
    </font>
    <font>
      <sz val="11.0"/>
      <color rgb="FF000000"/>
      <name val="&quot;Aptos Narrow&quot;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2" fontId="2" numFmtId="0" xfId="0" applyAlignment="1" applyBorder="1" applyFill="1" applyFont="1">
      <alignment vertical="bottom"/>
    </xf>
    <xf borderId="0" fillId="0" fontId="1" numFmtId="164" xfId="0" applyAlignment="1" applyFont="1" applyNumberForma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readingOrder="0" vertical="bottom"/>
    </xf>
    <xf borderId="1" fillId="0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vertical="bottom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4" xfId="0" applyAlignment="1" applyFont="1" applyNumberForma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3" numFmtId="0" xfId="0" applyAlignment="1" applyFont="1">
      <alignment vertical="bottom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4" xfId="0" applyAlignment="1" applyFont="1" applyNumberFormat="1">
      <alignment readingOrder="0" shrinkToFit="0" vertical="center" wrapText="0"/>
    </xf>
    <xf borderId="1" fillId="3" fontId="3" numFmtId="0" xfId="0" applyAlignment="1" applyBorder="1" applyFill="1" applyFont="1">
      <alignment vertical="bottom"/>
    </xf>
    <xf borderId="1" fillId="4" fontId="3" numFmtId="0" xfId="0" applyAlignment="1" applyBorder="1" applyFill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center"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13" displayName="Form_Responses" name="Form_Responses" id="1">
  <tableColumns count="13">
    <tableColumn name="Carimbo de data/hora" id="1"/>
    <tableColumn name="Endereço de e-mail" id="2"/>
    <tableColumn name="Nome Completo:" id="3"/>
    <tableColumn name="Confirme o E-mail" id="4"/>
    <tableColumn name="CPF" id="5"/>
    <tableColumn name="Data de Nascimento" id="6"/>
    <tableColumn name="Telefone (XX)XXXXX-XXXX" id="7"/>
    <tableColumn name="Município que representa:" id="8"/>
    <tableColumn name="Você faz parte do:" id="9"/>
    <tableColumn name="Que cargo você ocupa na gestão municipal?" id="10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1"/>
    <tableColumn name="Que cargo você ocupa no CACS-FUNDEB?" id="12"/>
    <tableColumn name="Confirmação de veracidade dos dados" id="1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5" width="18.88"/>
    <col customWidth="1" min="6" max="6" width="20.13"/>
    <col customWidth="1" min="7" max="7" width="24.88"/>
    <col customWidth="1" min="8" max="8" width="24.13"/>
    <col customWidth="1" min="9" max="9" width="18.88"/>
    <col customWidth="1" min="10" max="10" width="37.25"/>
    <col customWidth="1" min="11" max="11" width="37.63"/>
    <col customWidth="1" min="12" max="12" width="35.63"/>
    <col customWidth="1" min="13" max="13" width="33.25"/>
    <col customWidth="1" min="14" max="19" width="18.88"/>
  </cols>
  <sheetData>
    <row r="1" ht="22.5" customHeight="1">
      <c r="A1" s="9" t="s">
        <v>41</v>
      </c>
      <c r="B1" s="9" t="s">
        <v>52</v>
      </c>
      <c r="C1" s="10" t="s">
        <v>57</v>
      </c>
      <c r="D1" s="10" t="s">
        <v>59</v>
      </c>
      <c r="E1" s="10" t="s">
        <v>60</v>
      </c>
      <c r="F1" s="10" t="s">
        <v>61</v>
      </c>
      <c r="G1" s="9" t="s">
        <v>62</v>
      </c>
      <c r="H1" s="10" t="s">
        <v>63</v>
      </c>
      <c r="I1" s="10" t="s">
        <v>64</v>
      </c>
      <c r="J1" s="10" t="s">
        <v>65</v>
      </c>
      <c r="K1" s="9" t="s">
        <v>66</v>
      </c>
      <c r="L1" s="10" t="s">
        <v>67</v>
      </c>
      <c r="M1" s="11" t="s">
        <v>68</v>
      </c>
    </row>
    <row r="2" ht="22.5" customHeight="1">
      <c r="A2" s="13">
        <v>46107.681468888884</v>
      </c>
      <c r="B2" s="14" t="s">
        <v>69</v>
      </c>
      <c r="C2" s="14" t="s">
        <v>70</v>
      </c>
      <c r="D2" s="14" t="s">
        <v>69</v>
      </c>
      <c r="E2" s="14" t="s">
        <v>71</v>
      </c>
      <c r="F2" s="15">
        <v>23085.0</v>
      </c>
      <c r="G2" s="14" t="s">
        <v>72</v>
      </c>
      <c r="H2" s="14" t="s">
        <v>51</v>
      </c>
      <c r="I2" s="14" t="s">
        <v>18</v>
      </c>
      <c r="J2" s="14" t="s">
        <v>73</v>
      </c>
      <c r="K2" s="16"/>
      <c r="L2" s="16"/>
      <c r="M2" s="14" t="s">
        <v>74</v>
      </c>
    </row>
    <row r="3" ht="22.5" customHeight="1">
      <c r="A3" s="13">
        <v>46107.71108365741</v>
      </c>
      <c r="B3" s="14" t="s">
        <v>75</v>
      </c>
      <c r="C3" s="14" t="s">
        <v>76</v>
      </c>
      <c r="D3" s="14" t="s">
        <v>75</v>
      </c>
      <c r="E3" s="14" t="s">
        <v>77</v>
      </c>
      <c r="F3" s="15">
        <v>25800.0</v>
      </c>
      <c r="G3" s="14" t="s">
        <v>78</v>
      </c>
      <c r="H3" s="14" t="s">
        <v>42</v>
      </c>
      <c r="I3" s="14" t="s">
        <v>16</v>
      </c>
      <c r="J3" s="16"/>
      <c r="K3" s="16"/>
      <c r="L3" s="14" t="s">
        <v>79</v>
      </c>
      <c r="M3" s="14" t="s">
        <v>74</v>
      </c>
    </row>
    <row r="4" ht="22.5" customHeight="1">
      <c r="A4" s="13">
        <v>46108.34033121528</v>
      </c>
      <c r="B4" s="14" t="s">
        <v>80</v>
      </c>
      <c r="C4" s="14" t="s">
        <v>81</v>
      </c>
      <c r="D4" s="14" t="s">
        <v>80</v>
      </c>
      <c r="E4" s="14" t="s">
        <v>82</v>
      </c>
      <c r="F4" s="15">
        <v>32715.0</v>
      </c>
      <c r="G4" s="14" t="s">
        <v>83</v>
      </c>
      <c r="H4" s="14" t="s">
        <v>25</v>
      </c>
      <c r="I4" s="14" t="s">
        <v>16</v>
      </c>
      <c r="J4" s="16"/>
      <c r="K4" s="16"/>
      <c r="L4" s="14" t="s">
        <v>84</v>
      </c>
      <c r="M4" s="14" t="s">
        <v>74</v>
      </c>
    </row>
    <row r="5" ht="22.5" customHeight="1">
      <c r="A5" s="13">
        <v>46108.36378277778</v>
      </c>
      <c r="B5" s="14" t="s">
        <v>85</v>
      </c>
      <c r="C5" s="14" t="s">
        <v>86</v>
      </c>
      <c r="D5" s="14" t="s">
        <v>85</v>
      </c>
      <c r="E5" s="14" t="s">
        <v>87</v>
      </c>
      <c r="F5" s="15">
        <v>32037.0</v>
      </c>
      <c r="G5" s="14" t="s">
        <v>88</v>
      </c>
      <c r="H5" s="14" t="s">
        <v>44</v>
      </c>
      <c r="I5" s="14" t="s">
        <v>18</v>
      </c>
      <c r="J5" s="14" t="s">
        <v>89</v>
      </c>
      <c r="K5" s="16"/>
      <c r="L5" s="16"/>
      <c r="M5" s="14" t="s">
        <v>74</v>
      </c>
    </row>
    <row r="6" ht="22.5" customHeight="1">
      <c r="A6" s="13">
        <v>46108.36660876157</v>
      </c>
      <c r="B6" s="14" t="s">
        <v>85</v>
      </c>
      <c r="C6" s="14" t="s">
        <v>86</v>
      </c>
      <c r="D6" s="14" t="s">
        <v>85</v>
      </c>
      <c r="E6" s="14" t="s">
        <v>87</v>
      </c>
      <c r="F6" s="15">
        <v>32037.0</v>
      </c>
      <c r="G6" s="14" t="s">
        <v>88</v>
      </c>
      <c r="H6" s="14" t="s">
        <v>44</v>
      </c>
      <c r="I6" s="14" t="s">
        <v>18</v>
      </c>
      <c r="J6" s="14" t="s">
        <v>89</v>
      </c>
      <c r="K6" s="16"/>
      <c r="L6" s="16"/>
      <c r="M6" s="14" t="s">
        <v>74</v>
      </c>
    </row>
    <row r="7" ht="22.5" customHeight="1">
      <c r="A7" s="13">
        <v>46108.38943258102</v>
      </c>
      <c r="B7" s="14" t="s">
        <v>90</v>
      </c>
      <c r="C7" s="14" t="s">
        <v>91</v>
      </c>
      <c r="D7" s="14" t="s">
        <v>92</v>
      </c>
      <c r="E7" s="14" t="s">
        <v>93</v>
      </c>
      <c r="F7" s="15">
        <v>23711.0</v>
      </c>
      <c r="G7" s="14" t="s">
        <v>94</v>
      </c>
      <c r="H7" s="14" t="s">
        <v>44</v>
      </c>
      <c r="I7" s="14" t="s">
        <v>18</v>
      </c>
      <c r="J7" s="14" t="s">
        <v>95</v>
      </c>
      <c r="K7" s="16"/>
      <c r="L7" s="16"/>
      <c r="M7" s="14" t="s">
        <v>74</v>
      </c>
    </row>
    <row r="8" ht="22.5" customHeight="1">
      <c r="A8" s="13">
        <v>46108.39380276621</v>
      </c>
      <c r="B8" s="14" t="s">
        <v>92</v>
      </c>
      <c r="C8" s="14" t="s">
        <v>91</v>
      </c>
      <c r="D8" s="14" t="s">
        <v>92</v>
      </c>
      <c r="E8" s="14" t="s">
        <v>96</v>
      </c>
      <c r="F8" s="15">
        <v>23711.0</v>
      </c>
      <c r="G8" s="14" t="s">
        <v>94</v>
      </c>
      <c r="H8" s="14" t="s">
        <v>44</v>
      </c>
      <c r="I8" s="14" t="s">
        <v>18</v>
      </c>
      <c r="J8" s="14" t="s">
        <v>95</v>
      </c>
      <c r="K8" s="16"/>
      <c r="L8" s="16"/>
      <c r="M8" s="14" t="s">
        <v>74</v>
      </c>
    </row>
    <row r="9" ht="22.5" customHeight="1">
      <c r="A9" s="13">
        <v>46108.45774719908</v>
      </c>
      <c r="B9" s="14" t="s">
        <v>97</v>
      </c>
      <c r="C9" s="14" t="s">
        <v>98</v>
      </c>
      <c r="D9" s="14" t="s">
        <v>97</v>
      </c>
      <c r="E9" s="14" t="s">
        <v>99</v>
      </c>
      <c r="F9" s="15">
        <v>25729.0</v>
      </c>
      <c r="G9" s="14" t="s">
        <v>100</v>
      </c>
      <c r="H9" s="14" t="s">
        <v>42</v>
      </c>
      <c r="I9" s="14" t="s">
        <v>18</v>
      </c>
      <c r="J9" s="14" t="s">
        <v>101</v>
      </c>
      <c r="K9" s="16"/>
      <c r="L9" s="16"/>
      <c r="M9" s="14" t="s">
        <v>74</v>
      </c>
    </row>
    <row r="10" ht="22.5" customHeight="1">
      <c r="A10" s="13">
        <v>46108.62262895833</v>
      </c>
      <c r="B10" s="14" t="s">
        <v>102</v>
      </c>
      <c r="C10" s="14" t="s">
        <v>104</v>
      </c>
      <c r="D10" s="14" t="s">
        <v>102</v>
      </c>
      <c r="E10" s="14" t="s">
        <v>105</v>
      </c>
      <c r="F10" s="15">
        <v>35017.0</v>
      </c>
      <c r="G10" s="14" t="s">
        <v>106</v>
      </c>
      <c r="H10" s="14" t="s">
        <v>42</v>
      </c>
      <c r="I10" s="14" t="s">
        <v>18</v>
      </c>
      <c r="J10" s="14" t="s">
        <v>107</v>
      </c>
      <c r="K10" s="16"/>
      <c r="L10" s="16"/>
      <c r="M10" s="14" t="s">
        <v>74</v>
      </c>
    </row>
    <row r="11" ht="22.5" customHeight="1">
      <c r="A11" s="13">
        <v>46108.808536157405</v>
      </c>
      <c r="B11" s="14" t="s">
        <v>108</v>
      </c>
      <c r="C11" s="14" t="s">
        <v>109</v>
      </c>
      <c r="D11" s="14" t="s">
        <v>110</v>
      </c>
      <c r="E11" s="14" t="s">
        <v>111</v>
      </c>
      <c r="F11" s="15">
        <v>26391.0</v>
      </c>
      <c r="G11" s="14" t="s">
        <v>112</v>
      </c>
      <c r="H11" s="14" t="s">
        <v>42</v>
      </c>
      <c r="I11" s="14" t="s">
        <v>16</v>
      </c>
      <c r="J11" s="16"/>
      <c r="K11" s="16"/>
      <c r="L11" s="14" t="s">
        <v>113</v>
      </c>
      <c r="M11" s="14" t="s">
        <v>74</v>
      </c>
    </row>
    <row r="12" ht="22.5" customHeight="1">
      <c r="A12" s="13">
        <v>46109.79817400463</v>
      </c>
      <c r="B12" s="14" t="s">
        <v>114</v>
      </c>
      <c r="C12" s="14" t="s">
        <v>115</v>
      </c>
      <c r="D12" s="14" t="s">
        <v>116</v>
      </c>
      <c r="E12" s="14" t="s">
        <v>117</v>
      </c>
      <c r="F12" s="15">
        <v>29265.0</v>
      </c>
      <c r="G12" s="14" t="s">
        <v>118</v>
      </c>
      <c r="H12" s="14" t="s">
        <v>25</v>
      </c>
      <c r="I12" s="14" t="s">
        <v>18</v>
      </c>
      <c r="J12" s="14" t="s">
        <v>119</v>
      </c>
      <c r="K12" s="16"/>
      <c r="L12" s="16"/>
      <c r="M12" s="14" t="s">
        <v>74</v>
      </c>
    </row>
    <row r="13" ht="22.5" customHeight="1">
      <c r="A13" s="13">
        <v>46112.3850224537</v>
      </c>
      <c r="B13" s="14" t="s">
        <v>110</v>
      </c>
      <c r="C13" s="14" t="s">
        <v>120</v>
      </c>
      <c r="D13" s="14" t="s">
        <v>110</v>
      </c>
      <c r="E13" s="14" t="s">
        <v>111</v>
      </c>
      <c r="F13" s="15">
        <v>26391.0</v>
      </c>
      <c r="G13" s="14" t="s">
        <v>112</v>
      </c>
      <c r="H13" s="14" t="s">
        <v>42</v>
      </c>
      <c r="I13" s="14" t="s">
        <v>16</v>
      </c>
      <c r="J13" s="16"/>
      <c r="K13" s="16"/>
      <c r="L13" s="14" t="s">
        <v>121</v>
      </c>
      <c r="M13" s="14" t="s">
        <v>74</v>
      </c>
    </row>
    <row r="14" ht="22.5" customHeight="1">
      <c r="A14" s="13">
        <v>46112.39131261574</v>
      </c>
      <c r="B14" s="14" t="s">
        <v>122</v>
      </c>
      <c r="C14" s="14" t="s">
        <v>123</v>
      </c>
      <c r="D14" s="14" t="s">
        <v>122</v>
      </c>
      <c r="E14" s="14" t="s">
        <v>124</v>
      </c>
      <c r="F14" s="15">
        <v>29337.0</v>
      </c>
      <c r="G14" s="14" t="s">
        <v>125</v>
      </c>
      <c r="H14" s="14" t="s">
        <v>17</v>
      </c>
      <c r="I14" s="14" t="s">
        <v>18</v>
      </c>
      <c r="J14" s="14" t="s">
        <v>126</v>
      </c>
      <c r="K14" s="16"/>
      <c r="L14" s="16"/>
      <c r="M14" s="14" t="s">
        <v>74</v>
      </c>
    </row>
    <row r="15" ht="22.5" customHeight="1">
      <c r="A15" s="13">
        <v>46112.392963125</v>
      </c>
      <c r="B15" s="14" t="s">
        <v>122</v>
      </c>
      <c r="C15" s="14" t="s">
        <v>123</v>
      </c>
      <c r="D15" s="14" t="s">
        <v>122</v>
      </c>
      <c r="E15" s="14" t="s">
        <v>124</v>
      </c>
      <c r="F15" s="15">
        <v>29337.0</v>
      </c>
      <c r="G15" s="14" t="s">
        <v>125</v>
      </c>
      <c r="H15" s="14" t="s">
        <v>17</v>
      </c>
      <c r="I15" s="14" t="s">
        <v>18</v>
      </c>
      <c r="J15" s="14" t="s">
        <v>127</v>
      </c>
      <c r="K15" s="16"/>
      <c r="L15" s="16"/>
      <c r="M15" s="14" t="s">
        <v>74</v>
      </c>
    </row>
    <row r="16" ht="22.5" customHeight="1">
      <c r="A16" s="13">
        <v>46112.64557671297</v>
      </c>
      <c r="B16" s="14" t="s">
        <v>128</v>
      </c>
      <c r="C16" s="14" t="s">
        <v>129</v>
      </c>
      <c r="D16" s="14" t="s">
        <v>128</v>
      </c>
      <c r="E16" s="14" t="s">
        <v>130</v>
      </c>
      <c r="F16" s="15">
        <v>28162.0</v>
      </c>
      <c r="G16" s="14" t="s">
        <v>131</v>
      </c>
      <c r="H16" s="14" t="s">
        <v>12</v>
      </c>
      <c r="I16" s="14" t="s">
        <v>18</v>
      </c>
      <c r="J16" s="14" t="s">
        <v>132</v>
      </c>
      <c r="K16" s="16"/>
      <c r="L16" s="16"/>
      <c r="M16" s="14" t="s">
        <v>74</v>
      </c>
    </row>
    <row r="17" ht="22.5" customHeight="1">
      <c r="A17" s="13">
        <v>46112.648690277776</v>
      </c>
      <c r="B17" s="14" t="s">
        <v>128</v>
      </c>
      <c r="C17" s="14" t="s">
        <v>133</v>
      </c>
      <c r="D17" s="14" t="s">
        <v>128</v>
      </c>
      <c r="E17" s="14" t="s">
        <v>130</v>
      </c>
      <c r="F17" s="15">
        <v>28162.0</v>
      </c>
      <c r="G17" s="14" t="s">
        <v>131</v>
      </c>
      <c r="H17" s="14" t="s">
        <v>12</v>
      </c>
      <c r="I17" s="14" t="s">
        <v>18</v>
      </c>
      <c r="J17" s="14" t="s">
        <v>89</v>
      </c>
      <c r="K17" s="16"/>
      <c r="L17" s="16"/>
      <c r="M17" s="14" t="s">
        <v>74</v>
      </c>
    </row>
    <row r="18" ht="22.5" customHeight="1">
      <c r="A18" s="13">
        <v>46112.65101706018</v>
      </c>
      <c r="B18" s="14" t="s">
        <v>134</v>
      </c>
      <c r="C18" s="14" t="s">
        <v>135</v>
      </c>
      <c r="D18" s="14" t="s">
        <v>134</v>
      </c>
      <c r="E18" s="14" t="s">
        <v>136</v>
      </c>
      <c r="F18" s="15">
        <v>29359.0</v>
      </c>
      <c r="G18" s="14" t="s">
        <v>137</v>
      </c>
      <c r="H18" s="14" t="s">
        <v>12</v>
      </c>
      <c r="I18" s="14" t="s">
        <v>16</v>
      </c>
      <c r="J18" s="16"/>
      <c r="K18" s="16"/>
      <c r="L18" s="14" t="s">
        <v>138</v>
      </c>
      <c r="M18" s="14" t="s">
        <v>74</v>
      </c>
    </row>
    <row r="19" ht="22.5" customHeight="1">
      <c r="A19" s="13">
        <v>46112.65374657407</v>
      </c>
      <c r="B19" s="14" t="s">
        <v>134</v>
      </c>
      <c r="C19" s="14" t="s">
        <v>135</v>
      </c>
      <c r="D19" s="14" t="s">
        <v>134</v>
      </c>
      <c r="E19" s="14" t="s">
        <v>136</v>
      </c>
      <c r="F19" s="15">
        <v>29359.0</v>
      </c>
      <c r="G19" s="14" t="s">
        <v>137</v>
      </c>
      <c r="H19" s="14" t="s">
        <v>12</v>
      </c>
      <c r="I19" s="14" t="s">
        <v>16</v>
      </c>
      <c r="J19" s="16"/>
      <c r="K19" s="16"/>
      <c r="L19" s="14" t="s">
        <v>138</v>
      </c>
      <c r="M19" s="14" t="s">
        <v>74</v>
      </c>
    </row>
    <row r="20" ht="22.5" customHeight="1">
      <c r="A20" s="18">
        <v>46118.33138362269</v>
      </c>
      <c r="B20" s="19" t="s">
        <v>139</v>
      </c>
      <c r="C20" s="19" t="s">
        <v>140</v>
      </c>
      <c r="D20" s="19" t="s">
        <v>141</v>
      </c>
      <c r="E20" s="19" t="s">
        <v>142</v>
      </c>
      <c r="F20" s="20">
        <v>28359.0</v>
      </c>
      <c r="G20" s="19" t="s">
        <v>143</v>
      </c>
      <c r="H20" s="19" t="s">
        <v>39</v>
      </c>
      <c r="I20" s="19" t="s">
        <v>16</v>
      </c>
      <c r="L20" s="19" t="s">
        <v>144</v>
      </c>
      <c r="M20" s="19" t="s">
        <v>74</v>
      </c>
    </row>
    <row r="21" ht="22.5" customHeight="1">
      <c r="A21" s="18">
        <v>46118.53754275463</v>
      </c>
      <c r="B21" s="19" t="s">
        <v>145</v>
      </c>
      <c r="C21" s="19" t="s">
        <v>146</v>
      </c>
      <c r="D21" s="19" t="s">
        <v>145</v>
      </c>
      <c r="E21" s="19" t="s">
        <v>147</v>
      </c>
      <c r="F21" s="20">
        <v>28668.0</v>
      </c>
      <c r="G21" s="19" t="s">
        <v>148</v>
      </c>
      <c r="H21" s="19" t="s">
        <v>27</v>
      </c>
      <c r="I21" s="19" t="s">
        <v>18</v>
      </c>
      <c r="J21" s="19" t="s">
        <v>149</v>
      </c>
      <c r="M21" s="19" t="s">
        <v>74</v>
      </c>
    </row>
    <row r="22" ht="22.5" customHeight="1">
      <c r="A22" s="18">
        <v>46118.569619155096</v>
      </c>
      <c r="B22" s="19" t="s">
        <v>150</v>
      </c>
      <c r="C22" s="19" t="s">
        <v>151</v>
      </c>
      <c r="D22" s="19" t="s">
        <v>150</v>
      </c>
      <c r="E22" s="19" t="s">
        <v>152</v>
      </c>
      <c r="F22" s="20">
        <v>24713.0</v>
      </c>
      <c r="G22" s="19" t="s">
        <v>153</v>
      </c>
      <c r="H22" s="19" t="s">
        <v>34</v>
      </c>
      <c r="I22" s="19" t="s">
        <v>18</v>
      </c>
      <c r="J22" s="19" t="s">
        <v>154</v>
      </c>
      <c r="M22" s="19" t="s">
        <v>74</v>
      </c>
    </row>
    <row r="23" ht="22.5" customHeight="1">
      <c r="A23" s="18">
        <v>46118.581639375</v>
      </c>
      <c r="B23" s="19" t="s">
        <v>155</v>
      </c>
      <c r="C23" s="19" t="s">
        <v>156</v>
      </c>
      <c r="D23" s="19" t="s">
        <v>155</v>
      </c>
      <c r="E23" s="19" t="s">
        <v>157</v>
      </c>
      <c r="F23" s="20">
        <v>25051.0</v>
      </c>
      <c r="G23" s="19" t="s">
        <v>158</v>
      </c>
      <c r="H23" s="19" t="s">
        <v>32</v>
      </c>
      <c r="I23" s="19" t="s">
        <v>18</v>
      </c>
      <c r="J23" s="19" t="s">
        <v>159</v>
      </c>
      <c r="M23" s="19" t="s">
        <v>74</v>
      </c>
    </row>
    <row r="24" ht="22.5" customHeight="1">
      <c r="A24" s="18">
        <v>46118.583019247686</v>
      </c>
      <c r="B24" s="19" t="s">
        <v>160</v>
      </c>
      <c r="C24" s="19" t="s">
        <v>161</v>
      </c>
      <c r="D24" s="19" t="s">
        <v>160</v>
      </c>
      <c r="E24" s="19" t="s">
        <v>162</v>
      </c>
      <c r="F24" s="20">
        <v>36317.0</v>
      </c>
      <c r="G24" s="19" t="s">
        <v>163</v>
      </c>
      <c r="H24" s="19" t="s">
        <v>32</v>
      </c>
      <c r="I24" s="19" t="s">
        <v>18</v>
      </c>
      <c r="J24" s="19" t="s">
        <v>164</v>
      </c>
      <c r="M24" s="19" t="s">
        <v>74</v>
      </c>
    </row>
    <row r="25" ht="22.5" customHeight="1">
      <c r="A25" s="18">
        <v>46118.60071508102</v>
      </c>
      <c r="B25" s="19" t="s">
        <v>165</v>
      </c>
      <c r="C25" s="19" t="s">
        <v>166</v>
      </c>
      <c r="D25" s="19" t="s">
        <v>165</v>
      </c>
      <c r="E25" s="19" t="s">
        <v>167</v>
      </c>
      <c r="F25" s="20">
        <v>30414.0</v>
      </c>
      <c r="G25" s="19" t="s">
        <v>168</v>
      </c>
      <c r="H25" s="19" t="s">
        <v>15</v>
      </c>
      <c r="I25" s="19" t="s">
        <v>18</v>
      </c>
      <c r="J25" s="19" t="s">
        <v>169</v>
      </c>
      <c r="M25" s="19" t="s">
        <v>74</v>
      </c>
    </row>
    <row r="26" ht="22.5" customHeight="1">
      <c r="A26" s="18">
        <v>46118.60974596065</v>
      </c>
      <c r="B26" s="19" t="s">
        <v>170</v>
      </c>
      <c r="C26" s="19" t="s">
        <v>171</v>
      </c>
      <c r="D26" s="19" t="s">
        <v>170</v>
      </c>
      <c r="E26" s="19" t="s">
        <v>172</v>
      </c>
      <c r="F26" s="20">
        <v>29307.0</v>
      </c>
      <c r="G26" s="19" t="s">
        <v>173</v>
      </c>
      <c r="H26" s="19" t="s">
        <v>15</v>
      </c>
      <c r="I26" s="19" t="s">
        <v>18</v>
      </c>
      <c r="J26" s="19" t="s">
        <v>174</v>
      </c>
      <c r="M26" s="19" t="s">
        <v>74</v>
      </c>
    </row>
    <row r="27" ht="22.5" customHeight="1">
      <c r="A27" s="18">
        <v>46119.37139314815</v>
      </c>
      <c r="B27" s="19" t="s">
        <v>175</v>
      </c>
      <c r="C27" s="19" t="s">
        <v>176</v>
      </c>
      <c r="D27" s="19" t="s">
        <v>177</v>
      </c>
      <c r="E27" s="19" t="s">
        <v>178</v>
      </c>
      <c r="F27" s="20">
        <v>31369.0</v>
      </c>
      <c r="G27" s="19" t="s">
        <v>179</v>
      </c>
      <c r="H27" s="19" t="s">
        <v>35</v>
      </c>
      <c r="I27" s="19" t="s">
        <v>18</v>
      </c>
      <c r="J27" s="19" t="s">
        <v>180</v>
      </c>
      <c r="M27" s="19" t="s">
        <v>74</v>
      </c>
    </row>
    <row r="28" ht="22.5" customHeight="1">
      <c r="A28" s="18">
        <v>46119.66572203704</v>
      </c>
      <c r="B28" s="19" t="s">
        <v>181</v>
      </c>
      <c r="C28" s="19" t="s">
        <v>182</v>
      </c>
      <c r="D28" s="19" t="s">
        <v>181</v>
      </c>
      <c r="E28" s="19" t="s">
        <v>183</v>
      </c>
      <c r="F28" s="20">
        <v>29387.0</v>
      </c>
      <c r="G28" s="19" t="s">
        <v>184</v>
      </c>
      <c r="H28" s="19" t="s">
        <v>7</v>
      </c>
      <c r="I28" s="19" t="s">
        <v>18</v>
      </c>
      <c r="J28" s="19" t="s">
        <v>185</v>
      </c>
      <c r="M28" s="19" t="s">
        <v>74</v>
      </c>
    </row>
    <row r="29" ht="22.5" customHeight="1">
      <c r="A29" s="18">
        <v>46119.671372337965</v>
      </c>
      <c r="B29" s="19" t="s">
        <v>186</v>
      </c>
      <c r="C29" s="19" t="s">
        <v>187</v>
      </c>
      <c r="D29" s="19" t="s">
        <v>186</v>
      </c>
      <c r="E29" s="19" t="s">
        <v>188</v>
      </c>
      <c r="F29" s="20">
        <v>24867.0</v>
      </c>
      <c r="G29" s="19" t="s">
        <v>189</v>
      </c>
      <c r="H29" s="19" t="s">
        <v>36</v>
      </c>
      <c r="I29" s="19" t="s">
        <v>18</v>
      </c>
      <c r="J29" s="19" t="s">
        <v>180</v>
      </c>
      <c r="M29" s="19" t="s">
        <v>74</v>
      </c>
    </row>
    <row r="30" ht="22.5" customHeight="1">
      <c r="A30" s="18">
        <v>46119.67575731481</v>
      </c>
      <c r="B30" s="19" t="s">
        <v>190</v>
      </c>
      <c r="C30" s="19" t="s">
        <v>191</v>
      </c>
      <c r="D30" s="19" t="s">
        <v>190</v>
      </c>
      <c r="E30" s="19" t="s">
        <v>192</v>
      </c>
      <c r="F30" s="20">
        <v>30351.0</v>
      </c>
      <c r="G30" s="19" t="s">
        <v>193</v>
      </c>
      <c r="H30" s="19" t="s">
        <v>7</v>
      </c>
      <c r="I30" s="19" t="s">
        <v>18</v>
      </c>
      <c r="J30" s="19" t="s">
        <v>194</v>
      </c>
      <c r="M30" s="19" t="s">
        <v>74</v>
      </c>
    </row>
    <row r="31" ht="22.5" customHeight="1">
      <c r="A31" s="18">
        <v>46119.69773878472</v>
      </c>
      <c r="B31" s="19" t="s">
        <v>195</v>
      </c>
      <c r="C31" s="19" t="s">
        <v>196</v>
      </c>
      <c r="D31" s="19" t="s">
        <v>195</v>
      </c>
      <c r="E31" s="19" t="s">
        <v>197</v>
      </c>
      <c r="F31" s="20">
        <v>28128.0</v>
      </c>
      <c r="G31" s="19" t="s">
        <v>198</v>
      </c>
      <c r="H31" s="19" t="s">
        <v>7</v>
      </c>
      <c r="I31" s="19" t="s">
        <v>18</v>
      </c>
      <c r="J31" s="19" t="s">
        <v>199</v>
      </c>
      <c r="M31" s="19" t="s">
        <v>74</v>
      </c>
    </row>
    <row r="32" ht="22.5" customHeight="1">
      <c r="A32" s="18">
        <v>46119.70473744213</v>
      </c>
      <c r="B32" s="19" t="s">
        <v>200</v>
      </c>
      <c r="C32" s="19" t="s">
        <v>201</v>
      </c>
      <c r="D32" s="19" t="s">
        <v>200</v>
      </c>
      <c r="E32" s="19" t="s">
        <v>202</v>
      </c>
      <c r="F32" s="20">
        <v>38419.0</v>
      </c>
      <c r="G32" s="19" t="s">
        <v>203</v>
      </c>
      <c r="H32" s="19" t="s">
        <v>7</v>
      </c>
      <c r="I32" s="19" t="s">
        <v>18</v>
      </c>
      <c r="J32" s="19" t="s">
        <v>204</v>
      </c>
      <c r="M32" s="19" t="s">
        <v>74</v>
      </c>
    </row>
    <row r="33" ht="22.5" customHeight="1">
      <c r="A33" s="18">
        <v>46120.410988240736</v>
      </c>
      <c r="B33" s="19" t="s">
        <v>205</v>
      </c>
      <c r="C33" s="19" t="s">
        <v>206</v>
      </c>
      <c r="D33" s="19" t="s">
        <v>207</v>
      </c>
      <c r="E33" s="19" t="s">
        <v>208</v>
      </c>
      <c r="F33" s="20">
        <v>24684.0</v>
      </c>
      <c r="G33" s="19" t="s">
        <v>209</v>
      </c>
      <c r="H33" s="19" t="s">
        <v>103</v>
      </c>
      <c r="I33" s="19" t="s">
        <v>18</v>
      </c>
      <c r="J33" s="19" t="s">
        <v>210</v>
      </c>
      <c r="M33" s="19" t="s">
        <v>74</v>
      </c>
    </row>
    <row r="34" ht="22.5" customHeight="1">
      <c r="A34" s="18">
        <v>46120.43361006945</v>
      </c>
      <c r="B34" s="19" t="s">
        <v>211</v>
      </c>
      <c r="C34" s="19" t="s">
        <v>212</v>
      </c>
      <c r="D34" s="19" t="s">
        <v>211</v>
      </c>
      <c r="E34" s="19" t="s">
        <v>213</v>
      </c>
      <c r="F34" s="20">
        <v>26564.0</v>
      </c>
      <c r="G34" s="19" t="s">
        <v>214</v>
      </c>
      <c r="H34" s="19" t="s">
        <v>103</v>
      </c>
      <c r="I34" s="19" t="s">
        <v>16</v>
      </c>
      <c r="L34" s="19" t="s">
        <v>215</v>
      </c>
      <c r="M34" s="19" t="s">
        <v>74</v>
      </c>
    </row>
    <row r="35" ht="22.5" customHeight="1">
      <c r="A35" s="18">
        <v>46120.43761894676</v>
      </c>
      <c r="B35" s="19" t="s">
        <v>211</v>
      </c>
      <c r="C35" s="19" t="s">
        <v>216</v>
      </c>
      <c r="D35" s="19" t="s">
        <v>211</v>
      </c>
      <c r="E35" s="19" t="s">
        <v>217</v>
      </c>
      <c r="F35" s="20">
        <v>28103.0</v>
      </c>
      <c r="G35" s="19" t="s">
        <v>218</v>
      </c>
      <c r="H35" s="19" t="s">
        <v>103</v>
      </c>
      <c r="I35" s="19" t="s">
        <v>18</v>
      </c>
      <c r="J35" s="19" t="s">
        <v>219</v>
      </c>
      <c r="M35" s="19" t="s">
        <v>74</v>
      </c>
    </row>
    <row r="36" ht="22.5" customHeight="1">
      <c r="A36" s="18">
        <v>46121.68502064815</v>
      </c>
      <c r="B36" s="19" t="s">
        <v>220</v>
      </c>
      <c r="C36" s="19" t="s">
        <v>221</v>
      </c>
      <c r="D36" s="19" t="s">
        <v>220</v>
      </c>
      <c r="E36" s="19" t="s">
        <v>222</v>
      </c>
      <c r="F36" s="20">
        <v>34809.0</v>
      </c>
      <c r="G36" s="19" t="s">
        <v>223</v>
      </c>
      <c r="H36" s="19" t="s">
        <v>49</v>
      </c>
      <c r="I36" s="19" t="s">
        <v>18</v>
      </c>
      <c r="J36" s="19" t="s">
        <v>224</v>
      </c>
      <c r="M36" s="19" t="s">
        <v>74</v>
      </c>
    </row>
    <row r="37" ht="22.5" customHeight="1">
      <c r="A37" s="18">
        <v>46121.687227939816</v>
      </c>
      <c r="B37" s="19" t="s">
        <v>225</v>
      </c>
      <c r="C37" s="19" t="s">
        <v>226</v>
      </c>
      <c r="D37" s="19" t="s">
        <v>225</v>
      </c>
      <c r="E37" s="19" t="s">
        <v>227</v>
      </c>
      <c r="F37" s="20">
        <v>30385.0</v>
      </c>
      <c r="G37" s="19" t="s">
        <v>228</v>
      </c>
      <c r="H37" s="19" t="s">
        <v>45</v>
      </c>
      <c r="I37" s="19" t="s">
        <v>18</v>
      </c>
      <c r="J37" s="19" t="s">
        <v>229</v>
      </c>
      <c r="M37" s="19" t="s">
        <v>74</v>
      </c>
    </row>
    <row r="38" ht="22.5" customHeight="1">
      <c r="A38" s="18">
        <v>46121.697384375</v>
      </c>
      <c r="B38" s="19" t="s">
        <v>230</v>
      </c>
      <c r="C38" s="19" t="s">
        <v>231</v>
      </c>
      <c r="D38" s="19" t="s">
        <v>230</v>
      </c>
      <c r="E38" s="19" t="s">
        <v>232</v>
      </c>
      <c r="F38" s="20">
        <v>22943.0</v>
      </c>
      <c r="G38" s="19" t="s">
        <v>233</v>
      </c>
      <c r="H38" s="19" t="s">
        <v>45</v>
      </c>
      <c r="I38" s="19" t="s">
        <v>18</v>
      </c>
      <c r="J38" s="19" t="s">
        <v>234</v>
      </c>
      <c r="M38" s="19" t="s">
        <v>74</v>
      </c>
    </row>
    <row r="39" ht="22.5" customHeight="1">
      <c r="A39" s="18">
        <v>46121.70479899306</v>
      </c>
      <c r="B39" s="19" t="s">
        <v>235</v>
      </c>
      <c r="C39" s="19" t="s">
        <v>236</v>
      </c>
      <c r="D39" s="19" t="s">
        <v>235</v>
      </c>
      <c r="E39" s="19" t="s">
        <v>237</v>
      </c>
      <c r="F39" s="20">
        <v>28648.0</v>
      </c>
      <c r="G39" s="19" t="s">
        <v>238</v>
      </c>
      <c r="H39" s="19" t="s">
        <v>45</v>
      </c>
      <c r="I39" s="19" t="s">
        <v>18</v>
      </c>
      <c r="J39" s="19" t="s">
        <v>239</v>
      </c>
      <c r="M39" s="19" t="s">
        <v>74</v>
      </c>
    </row>
    <row r="40" ht="22.5" customHeight="1">
      <c r="A40" s="18">
        <v>46122.37919741898</v>
      </c>
      <c r="B40" s="19" t="s">
        <v>240</v>
      </c>
      <c r="C40" s="19" t="s">
        <v>241</v>
      </c>
      <c r="D40" s="19" t="s">
        <v>242</v>
      </c>
      <c r="E40" s="19" t="s">
        <v>243</v>
      </c>
      <c r="F40" s="20">
        <v>30211.0</v>
      </c>
      <c r="G40" s="19" t="s">
        <v>244</v>
      </c>
      <c r="H40" s="19" t="s">
        <v>49</v>
      </c>
      <c r="I40" s="19" t="s">
        <v>18</v>
      </c>
      <c r="J40" s="19" t="s">
        <v>245</v>
      </c>
      <c r="K40" s="19" t="s">
        <v>246</v>
      </c>
      <c r="M40" s="19" t="s">
        <v>74</v>
      </c>
    </row>
    <row r="41" ht="22.5" customHeight="1">
      <c r="A41" s="18">
        <v>46125.583769895835</v>
      </c>
      <c r="B41" s="19" t="s">
        <v>247</v>
      </c>
      <c r="C41" s="19" t="s">
        <v>248</v>
      </c>
      <c r="D41" s="19" t="s">
        <v>249</v>
      </c>
      <c r="E41" s="19" t="s">
        <v>250</v>
      </c>
      <c r="F41" s="20">
        <v>30527.0</v>
      </c>
      <c r="G41" s="19" t="s">
        <v>251</v>
      </c>
      <c r="H41" s="19" t="s">
        <v>54</v>
      </c>
      <c r="I41" s="19" t="s">
        <v>16</v>
      </c>
      <c r="L41" s="19" t="s">
        <v>252</v>
      </c>
      <c r="M41" s="19" t="s">
        <v>74</v>
      </c>
    </row>
    <row r="42" ht="22.5" customHeight="1">
      <c r="A42" s="18">
        <v>46125.58385688657</v>
      </c>
      <c r="B42" s="19" t="s">
        <v>253</v>
      </c>
      <c r="C42" s="19" t="s">
        <v>254</v>
      </c>
      <c r="D42" s="19" t="s">
        <v>253</v>
      </c>
      <c r="E42" s="19" t="s">
        <v>255</v>
      </c>
      <c r="F42" s="20">
        <v>31671.0</v>
      </c>
      <c r="G42" s="19" t="s">
        <v>256</v>
      </c>
      <c r="H42" s="19" t="s">
        <v>3</v>
      </c>
      <c r="I42" s="19" t="s">
        <v>18</v>
      </c>
      <c r="J42" s="19" t="s">
        <v>257</v>
      </c>
      <c r="M42" s="19" t="s">
        <v>74</v>
      </c>
    </row>
    <row r="43" ht="22.5" customHeight="1">
      <c r="A43" s="18">
        <v>46125.588187685185</v>
      </c>
      <c r="B43" s="19" t="s">
        <v>253</v>
      </c>
      <c r="C43" s="19" t="s">
        <v>254</v>
      </c>
      <c r="D43" s="19" t="s">
        <v>253</v>
      </c>
      <c r="E43" s="19" t="s">
        <v>258</v>
      </c>
      <c r="F43" s="20">
        <v>31671.0</v>
      </c>
      <c r="G43" s="19" t="s">
        <v>256</v>
      </c>
      <c r="H43" s="19" t="s">
        <v>54</v>
      </c>
      <c r="I43" s="19" t="s">
        <v>18</v>
      </c>
      <c r="J43" s="19" t="s">
        <v>257</v>
      </c>
      <c r="M43" s="19" t="s">
        <v>74</v>
      </c>
    </row>
    <row r="44" ht="22.5" customHeight="1">
      <c r="A44" s="18">
        <v>46125.597857037035</v>
      </c>
      <c r="B44" s="19" t="s">
        <v>259</v>
      </c>
      <c r="C44" s="19" t="s">
        <v>260</v>
      </c>
      <c r="D44" s="19" t="s">
        <v>259</v>
      </c>
      <c r="E44" s="19" t="s">
        <v>261</v>
      </c>
      <c r="F44" s="20">
        <v>32272.0</v>
      </c>
      <c r="G44" s="19" t="s">
        <v>262</v>
      </c>
      <c r="H44" s="19" t="s">
        <v>38</v>
      </c>
      <c r="I44" s="19" t="s">
        <v>18</v>
      </c>
      <c r="J44" s="19" t="s">
        <v>263</v>
      </c>
      <c r="M44" s="19" t="s">
        <v>74</v>
      </c>
    </row>
    <row r="45" ht="22.5" customHeight="1">
      <c r="A45" s="18">
        <v>46125.693727499995</v>
      </c>
      <c r="B45" s="19" t="s">
        <v>264</v>
      </c>
      <c r="C45" s="19" t="s">
        <v>265</v>
      </c>
      <c r="D45" s="19" t="s">
        <v>266</v>
      </c>
      <c r="E45" s="19" t="s">
        <v>267</v>
      </c>
      <c r="F45" s="20">
        <v>33950.0</v>
      </c>
      <c r="G45" s="19" t="s">
        <v>268</v>
      </c>
      <c r="H45" s="19" t="s">
        <v>38</v>
      </c>
      <c r="I45" s="19" t="s">
        <v>18</v>
      </c>
      <c r="J45" s="19" t="s">
        <v>269</v>
      </c>
      <c r="M45" s="19" t="s">
        <v>74</v>
      </c>
    </row>
    <row r="46" ht="22.5" customHeight="1">
      <c r="A46" s="18">
        <v>46126.36870384259</v>
      </c>
      <c r="B46" s="19" t="s">
        <v>270</v>
      </c>
      <c r="C46" s="19" t="s">
        <v>271</v>
      </c>
      <c r="D46" s="19" t="s">
        <v>270</v>
      </c>
      <c r="E46" s="19" t="s">
        <v>272</v>
      </c>
      <c r="F46" s="20">
        <v>26731.0</v>
      </c>
      <c r="G46" s="19" t="s">
        <v>273</v>
      </c>
      <c r="H46" s="19" t="s">
        <v>33</v>
      </c>
      <c r="I46" s="19" t="s">
        <v>18</v>
      </c>
      <c r="J46" s="19" t="s">
        <v>274</v>
      </c>
      <c r="M46" s="19" t="s">
        <v>74</v>
      </c>
    </row>
    <row r="47" ht="22.5" customHeight="1">
      <c r="A47" s="18">
        <v>46126.38972989583</v>
      </c>
      <c r="B47" s="19" t="s">
        <v>275</v>
      </c>
      <c r="C47" s="19" t="s">
        <v>276</v>
      </c>
      <c r="D47" s="19" t="s">
        <v>275</v>
      </c>
      <c r="E47" s="19" t="s">
        <v>277</v>
      </c>
      <c r="F47" s="20">
        <v>25755.0</v>
      </c>
      <c r="G47" s="19" t="s">
        <v>278</v>
      </c>
      <c r="H47" s="19" t="s">
        <v>33</v>
      </c>
      <c r="I47" s="19" t="s">
        <v>18</v>
      </c>
      <c r="J47" s="19" t="s">
        <v>219</v>
      </c>
      <c r="M47" s="19" t="s">
        <v>74</v>
      </c>
    </row>
    <row r="48" ht="22.5" customHeight="1">
      <c r="A48" s="18">
        <v>46126.42096607639</v>
      </c>
      <c r="B48" s="19" t="s">
        <v>145</v>
      </c>
      <c r="C48" s="19" t="s">
        <v>279</v>
      </c>
      <c r="D48" s="19" t="s">
        <v>145</v>
      </c>
      <c r="E48" s="19" t="s">
        <v>147</v>
      </c>
      <c r="F48" s="20">
        <v>28668.0</v>
      </c>
      <c r="G48" s="19" t="s">
        <v>148</v>
      </c>
      <c r="H48" s="19" t="s">
        <v>27</v>
      </c>
      <c r="I48" s="19" t="s">
        <v>18</v>
      </c>
      <c r="J48" s="19" t="s">
        <v>280</v>
      </c>
      <c r="K48" s="19" t="s">
        <v>281</v>
      </c>
      <c r="M48" s="19" t="s">
        <v>74</v>
      </c>
    </row>
    <row r="49" ht="22.5" customHeight="1">
      <c r="A49" s="18">
        <v>46126.43908140046</v>
      </c>
      <c r="B49" s="19" t="s">
        <v>282</v>
      </c>
      <c r="C49" s="19" t="s">
        <v>283</v>
      </c>
      <c r="D49" s="19" t="s">
        <v>282</v>
      </c>
      <c r="E49" s="19" t="s">
        <v>284</v>
      </c>
      <c r="F49" s="20">
        <v>34373.0</v>
      </c>
      <c r="G49" s="19" t="s">
        <v>285</v>
      </c>
      <c r="H49" s="19" t="s">
        <v>24</v>
      </c>
      <c r="I49" s="19" t="s">
        <v>18</v>
      </c>
      <c r="J49" s="19" t="s">
        <v>287</v>
      </c>
      <c r="M49" s="19" t="s">
        <v>74</v>
      </c>
    </row>
    <row r="50" ht="22.5" customHeight="1">
      <c r="A50" s="18">
        <v>46126.68963396991</v>
      </c>
      <c r="B50" s="19" t="s">
        <v>288</v>
      </c>
      <c r="C50" s="19" t="s">
        <v>289</v>
      </c>
      <c r="D50" s="19" t="s">
        <v>288</v>
      </c>
      <c r="E50" s="19" t="s">
        <v>290</v>
      </c>
      <c r="F50" s="20">
        <v>30198.0</v>
      </c>
      <c r="G50" s="19" t="s">
        <v>291</v>
      </c>
      <c r="H50" s="19" t="s">
        <v>58</v>
      </c>
      <c r="I50" s="19" t="s">
        <v>16</v>
      </c>
      <c r="L50" s="19" t="s">
        <v>292</v>
      </c>
      <c r="M50" s="19" t="s">
        <v>74</v>
      </c>
    </row>
    <row r="51" ht="22.5" customHeight="1">
      <c r="A51" s="18">
        <v>46126.69206538194</v>
      </c>
      <c r="B51" s="19" t="s">
        <v>294</v>
      </c>
      <c r="C51" s="19" t="s">
        <v>295</v>
      </c>
      <c r="D51" s="19" t="s">
        <v>294</v>
      </c>
      <c r="E51" s="19" t="s">
        <v>296</v>
      </c>
      <c r="F51" s="20">
        <v>24562.0</v>
      </c>
      <c r="G51" s="19" t="s">
        <v>297</v>
      </c>
      <c r="H51" s="19" t="s">
        <v>58</v>
      </c>
      <c r="I51" s="19" t="s">
        <v>18</v>
      </c>
      <c r="J51" s="19" t="s">
        <v>299</v>
      </c>
      <c r="M51" s="19" t="s">
        <v>74</v>
      </c>
    </row>
    <row r="52" ht="22.5" customHeight="1">
      <c r="A52" s="18">
        <v>46126.707610011574</v>
      </c>
      <c r="B52" s="19" t="s">
        <v>300</v>
      </c>
      <c r="C52" s="19" t="s">
        <v>301</v>
      </c>
      <c r="D52" s="19" t="s">
        <v>300</v>
      </c>
      <c r="E52" s="19" t="s">
        <v>302</v>
      </c>
      <c r="F52" s="20">
        <v>27221.0</v>
      </c>
      <c r="G52" s="19" t="s">
        <v>303</v>
      </c>
      <c r="H52" s="19" t="s">
        <v>47</v>
      </c>
      <c r="I52" s="19" t="s">
        <v>18</v>
      </c>
      <c r="J52" s="19" t="s">
        <v>305</v>
      </c>
      <c r="M52" s="19" t="s">
        <v>74</v>
      </c>
    </row>
    <row r="53" ht="22.5" customHeight="1">
      <c r="A53" s="18">
        <v>46126.72067657407</v>
      </c>
      <c r="B53" s="19" t="s">
        <v>306</v>
      </c>
      <c r="C53" s="19" t="s">
        <v>307</v>
      </c>
      <c r="D53" s="19" t="s">
        <v>306</v>
      </c>
      <c r="E53" s="19" t="s">
        <v>308</v>
      </c>
      <c r="F53" s="20">
        <v>31000.0</v>
      </c>
      <c r="G53" s="19" t="s">
        <v>309</v>
      </c>
      <c r="H53" s="19" t="s">
        <v>47</v>
      </c>
      <c r="I53" s="19" t="s">
        <v>18</v>
      </c>
      <c r="J53" s="19" t="s">
        <v>311</v>
      </c>
      <c r="M53" s="19" t="s">
        <v>74</v>
      </c>
    </row>
    <row r="54" ht="22.5" customHeight="1">
      <c r="A54" s="18">
        <v>46126.798945636576</v>
      </c>
      <c r="B54" s="19" t="s">
        <v>312</v>
      </c>
      <c r="C54" s="19" t="s">
        <v>313</v>
      </c>
      <c r="D54" s="19" t="s">
        <v>312</v>
      </c>
      <c r="E54" s="19" t="s">
        <v>314</v>
      </c>
      <c r="F54" s="20">
        <v>36325.0</v>
      </c>
      <c r="G54" s="19" t="s">
        <v>315</v>
      </c>
      <c r="H54" s="19" t="s">
        <v>26</v>
      </c>
      <c r="I54" s="19" t="s">
        <v>18</v>
      </c>
      <c r="J54" s="19" t="s">
        <v>317</v>
      </c>
      <c r="M54" s="19" t="s">
        <v>74</v>
      </c>
    </row>
    <row r="55" ht="22.5" customHeight="1">
      <c r="A55" s="18">
        <v>46126.938671192125</v>
      </c>
      <c r="B55" s="19" t="s">
        <v>318</v>
      </c>
      <c r="C55" s="19" t="s">
        <v>319</v>
      </c>
      <c r="D55" s="19" t="s">
        <v>318</v>
      </c>
      <c r="E55" s="19" t="s">
        <v>320</v>
      </c>
      <c r="F55" s="20">
        <v>32683.0</v>
      </c>
      <c r="G55" s="19" t="s">
        <v>321</v>
      </c>
      <c r="H55" s="19" t="s">
        <v>22</v>
      </c>
      <c r="I55" s="19" t="s">
        <v>18</v>
      </c>
      <c r="J55" s="19" t="s">
        <v>322</v>
      </c>
      <c r="M55" s="19" t="s">
        <v>74</v>
      </c>
    </row>
    <row r="56" ht="22.5" customHeight="1">
      <c r="A56" s="18">
        <v>46127.41064165509</v>
      </c>
      <c r="B56" s="19" t="s">
        <v>323</v>
      </c>
      <c r="C56" s="19" t="s">
        <v>324</v>
      </c>
      <c r="D56" s="19" t="s">
        <v>323</v>
      </c>
      <c r="E56" s="19" t="s">
        <v>326</v>
      </c>
      <c r="F56" s="20">
        <v>27611.0</v>
      </c>
      <c r="G56" s="19" t="s">
        <v>327</v>
      </c>
      <c r="H56" s="19" t="s">
        <v>35</v>
      </c>
      <c r="I56" s="19" t="s">
        <v>18</v>
      </c>
      <c r="J56" s="19" t="s">
        <v>328</v>
      </c>
      <c r="M56" s="19" t="s">
        <v>74</v>
      </c>
    </row>
    <row r="57" ht="22.5" customHeight="1">
      <c r="A57" s="18">
        <v>46127.41340297453</v>
      </c>
      <c r="B57" s="19" t="s">
        <v>335</v>
      </c>
      <c r="C57" s="19" t="s">
        <v>336</v>
      </c>
      <c r="D57" s="19" t="s">
        <v>335</v>
      </c>
      <c r="E57" s="19" t="s">
        <v>337</v>
      </c>
      <c r="F57" s="20">
        <v>29456.0</v>
      </c>
      <c r="G57" s="19" t="s">
        <v>338</v>
      </c>
      <c r="H57" s="19" t="s">
        <v>35</v>
      </c>
      <c r="I57" s="19" t="s">
        <v>16</v>
      </c>
      <c r="L57" s="19" t="s">
        <v>339</v>
      </c>
      <c r="M57" s="19" t="s">
        <v>74</v>
      </c>
    </row>
    <row r="58" ht="22.5" customHeight="1">
      <c r="A58" s="18">
        <v>46127.41657534722</v>
      </c>
      <c r="B58" s="19" t="s">
        <v>340</v>
      </c>
      <c r="C58" s="19" t="s">
        <v>341</v>
      </c>
      <c r="D58" s="19" t="s">
        <v>340</v>
      </c>
      <c r="E58" s="19" t="s">
        <v>342</v>
      </c>
      <c r="F58" s="20">
        <v>27969.0</v>
      </c>
      <c r="G58" s="19" t="s">
        <v>343</v>
      </c>
      <c r="H58" s="19" t="s">
        <v>35</v>
      </c>
      <c r="I58" s="19" t="s">
        <v>18</v>
      </c>
      <c r="J58" s="19" t="s">
        <v>344</v>
      </c>
      <c r="M58" s="19" t="s">
        <v>74</v>
      </c>
    </row>
    <row r="59" ht="22.5" customHeight="1">
      <c r="A59" s="18">
        <v>46127.41948398148</v>
      </c>
      <c r="B59" s="19" t="s">
        <v>345</v>
      </c>
      <c r="C59" s="19" t="s">
        <v>346</v>
      </c>
      <c r="D59" s="19" t="s">
        <v>345</v>
      </c>
      <c r="E59" s="19" t="s">
        <v>347</v>
      </c>
      <c r="F59" s="20">
        <v>31772.0</v>
      </c>
      <c r="G59" s="19" t="s">
        <v>348</v>
      </c>
      <c r="H59" s="19" t="s">
        <v>21</v>
      </c>
      <c r="I59" s="19" t="s">
        <v>18</v>
      </c>
      <c r="J59" s="19" t="s">
        <v>349</v>
      </c>
      <c r="M59" s="19" t="s">
        <v>74</v>
      </c>
    </row>
    <row r="60" ht="22.5" customHeight="1">
      <c r="A60" s="18">
        <v>46127.42392181713</v>
      </c>
      <c r="B60" s="19" t="s">
        <v>350</v>
      </c>
      <c r="C60" s="19" t="s">
        <v>351</v>
      </c>
      <c r="D60" s="19" t="s">
        <v>350</v>
      </c>
      <c r="E60" s="19" t="s">
        <v>352</v>
      </c>
      <c r="F60" s="20">
        <v>22269.0</v>
      </c>
      <c r="G60" s="19" t="s">
        <v>353</v>
      </c>
      <c r="H60" s="19" t="s">
        <v>8</v>
      </c>
      <c r="I60" s="19" t="s">
        <v>18</v>
      </c>
      <c r="J60" s="19" t="s">
        <v>299</v>
      </c>
      <c r="K60" s="19" t="s">
        <v>354</v>
      </c>
      <c r="M60" s="19" t="s">
        <v>74</v>
      </c>
    </row>
    <row r="61" ht="22.5" customHeight="1">
      <c r="A61" s="18">
        <v>46127.42539751157</v>
      </c>
      <c r="B61" s="19" t="s">
        <v>355</v>
      </c>
      <c r="C61" s="19" t="s">
        <v>356</v>
      </c>
      <c r="D61" s="19" t="s">
        <v>355</v>
      </c>
      <c r="E61" s="19" t="s">
        <v>357</v>
      </c>
      <c r="F61" s="20">
        <v>27958.0</v>
      </c>
      <c r="G61" s="19" t="s">
        <v>358</v>
      </c>
      <c r="H61" s="19" t="s">
        <v>21</v>
      </c>
      <c r="I61" s="19" t="s">
        <v>18</v>
      </c>
      <c r="J61" s="19" t="s">
        <v>199</v>
      </c>
      <c r="M61" s="19" t="s">
        <v>74</v>
      </c>
    </row>
    <row r="62" ht="22.5" customHeight="1">
      <c r="A62" s="18">
        <v>46127.426581990745</v>
      </c>
      <c r="B62" s="19" t="s">
        <v>359</v>
      </c>
      <c r="C62" s="19" t="s">
        <v>360</v>
      </c>
      <c r="D62" s="19" t="s">
        <v>359</v>
      </c>
      <c r="E62" s="19" t="s">
        <v>361</v>
      </c>
      <c r="F62" s="20">
        <v>38144.0</v>
      </c>
      <c r="G62" s="19" t="s">
        <v>362</v>
      </c>
      <c r="H62" s="19" t="s">
        <v>23</v>
      </c>
      <c r="I62" s="19" t="s">
        <v>18</v>
      </c>
      <c r="J62" s="19" t="s">
        <v>363</v>
      </c>
      <c r="M62" s="19" t="s">
        <v>74</v>
      </c>
    </row>
    <row r="63" ht="22.5" customHeight="1">
      <c r="A63" s="18">
        <v>46127.45041983796</v>
      </c>
      <c r="B63" s="19" t="s">
        <v>364</v>
      </c>
      <c r="C63" s="19" t="s">
        <v>365</v>
      </c>
      <c r="D63" s="19" t="s">
        <v>366</v>
      </c>
      <c r="E63" s="19" t="s">
        <v>367</v>
      </c>
      <c r="F63" s="20">
        <v>34204.0</v>
      </c>
      <c r="G63" s="19" t="s">
        <v>368</v>
      </c>
      <c r="H63" s="19" t="s">
        <v>23</v>
      </c>
      <c r="I63" s="19" t="s">
        <v>18</v>
      </c>
      <c r="J63" s="19" t="s">
        <v>369</v>
      </c>
      <c r="M63" s="19" t="s">
        <v>74</v>
      </c>
    </row>
    <row r="64" ht="22.5" customHeight="1">
      <c r="A64" s="18">
        <v>46127.47024174768</v>
      </c>
      <c r="B64" s="19" t="s">
        <v>370</v>
      </c>
      <c r="C64" s="19" t="s">
        <v>371</v>
      </c>
      <c r="D64" s="19" t="s">
        <v>370</v>
      </c>
      <c r="E64" s="19" t="s">
        <v>372</v>
      </c>
      <c r="F64" s="20">
        <v>23774.0</v>
      </c>
      <c r="G64" s="19" t="s">
        <v>373</v>
      </c>
      <c r="H64" s="19" t="s">
        <v>47</v>
      </c>
      <c r="I64" s="19" t="s">
        <v>16</v>
      </c>
      <c r="L64" s="19" t="s">
        <v>374</v>
      </c>
      <c r="M64" s="19" t="s">
        <v>74</v>
      </c>
    </row>
    <row r="65" ht="22.5" customHeight="1">
      <c r="A65" s="18">
        <v>46127.90280414352</v>
      </c>
      <c r="B65" s="19" t="s">
        <v>375</v>
      </c>
      <c r="C65" s="19" t="s">
        <v>376</v>
      </c>
      <c r="D65" s="19" t="s">
        <v>377</v>
      </c>
      <c r="E65" s="19" t="s">
        <v>378</v>
      </c>
      <c r="F65" s="20">
        <v>29854.0</v>
      </c>
      <c r="G65" s="19" t="s">
        <v>379</v>
      </c>
      <c r="H65" s="19" t="s">
        <v>8</v>
      </c>
      <c r="I65" s="19" t="s">
        <v>16</v>
      </c>
      <c r="L65" s="19" t="s">
        <v>380</v>
      </c>
      <c r="M65" s="19" t="s">
        <v>74</v>
      </c>
    </row>
    <row r="66" ht="22.5" customHeight="1">
      <c r="A66" s="18">
        <v>46128.644587939816</v>
      </c>
      <c r="B66" s="19" t="s">
        <v>381</v>
      </c>
      <c r="C66" s="19" t="s">
        <v>382</v>
      </c>
      <c r="D66" s="19" t="s">
        <v>381</v>
      </c>
      <c r="E66" s="19" t="s">
        <v>383</v>
      </c>
      <c r="F66" s="20">
        <v>36245.0</v>
      </c>
      <c r="G66" s="19" t="s">
        <v>384</v>
      </c>
      <c r="H66" s="19" t="s">
        <v>385</v>
      </c>
      <c r="I66" s="19" t="s">
        <v>18</v>
      </c>
      <c r="J66" s="19" t="s">
        <v>386</v>
      </c>
      <c r="M66" s="19" t="s">
        <v>74</v>
      </c>
    </row>
    <row r="67" ht="22.5" customHeight="1">
      <c r="A67" s="18">
        <v>46129.62746081018</v>
      </c>
      <c r="B67" s="19" t="s">
        <v>387</v>
      </c>
      <c r="C67" s="19" t="s">
        <v>388</v>
      </c>
      <c r="D67" s="19" t="s">
        <v>387</v>
      </c>
      <c r="E67" s="19" t="s">
        <v>389</v>
      </c>
      <c r="F67" s="20">
        <v>26156.0</v>
      </c>
      <c r="G67" s="19" t="s">
        <v>390</v>
      </c>
      <c r="H67" s="19" t="s">
        <v>385</v>
      </c>
      <c r="I67" s="19" t="s">
        <v>16</v>
      </c>
      <c r="L67" s="19" t="s">
        <v>292</v>
      </c>
      <c r="M67" s="19" t="s">
        <v>74</v>
      </c>
    </row>
    <row r="68" ht="22.5" customHeight="1">
      <c r="A68" s="18">
        <v>46129.628900324074</v>
      </c>
      <c r="B68" s="19" t="s">
        <v>391</v>
      </c>
      <c r="C68" s="19" t="s">
        <v>392</v>
      </c>
      <c r="D68" s="19" t="s">
        <v>391</v>
      </c>
      <c r="E68" s="19" t="s">
        <v>393</v>
      </c>
      <c r="F68" s="20">
        <v>27901.0</v>
      </c>
      <c r="G68" s="19" t="s">
        <v>394</v>
      </c>
      <c r="H68" s="19" t="s">
        <v>385</v>
      </c>
      <c r="I68" s="19" t="s">
        <v>18</v>
      </c>
      <c r="J68" s="19" t="s">
        <v>395</v>
      </c>
      <c r="M68" s="19" t="s">
        <v>74</v>
      </c>
    </row>
    <row r="69" ht="22.5" customHeight="1">
      <c r="A69" s="18">
        <v>46129.674898321755</v>
      </c>
      <c r="B69" s="19" t="s">
        <v>396</v>
      </c>
      <c r="C69" s="19" t="s">
        <v>397</v>
      </c>
      <c r="D69" s="19" t="s">
        <v>396</v>
      </c>
      <c r="E69" s="19" t="s">
        <v>398</v>
      </c>
      <c r="F69" s="20">
        <v>27204.0</v>
      </c>
      <c r="G69" s="19" t="s">
        <v>399</v>
      </c>
      <c r="H69" s="19" t="s">
        <v>24</v>
      </c>
      <c r="I69" s="19" t="s">
        <v>18</v>
      </c>
      <c r="J69" s="19" t="s">
        <v>400</v>
      </c>
      <c r="M69" s="19" t="s">
        <v>74</v>
      </c>
    </row>
    <row r="70" ht="22.5" customHeight="1">
      <c r="A70" s="18">
        <v>46134.366256967594</v>
      </c>
      <c r="B70" s="19" t="s">
        <v>401</v>
      </c>
      <c r="C70" s="19" t="s">
        <v>402</v>
      </c>
      <c r="D70" s="19" t="s">
        <v>401</v>
      </c>
      <c r="E70" s="19" t="s">
        <v>403</v>
      </c>
      <c r="F70" s="20">
        <v>28437.0</v>
      </c>
      <c r="G70" s="19" t="s">
        <v>404</v>
      </c>
      <c r="H70" s="19" t="s">
        <v>5</v>
      </c>
      <c r="I70" s="19" t="s">
        <v>18</v>
      </c>
      <c r="J70" s="19" t="s">
        <v>405</v>
      </c>
      <c r="M70" s="19" t="s">
        <v>74</v>
      </c>
    </row>
    <row r="71" ht="22.5" customHeight="1">
      <c r="A71" s="18">
        <v>46134.44856734954</v>
      </c>
      <c r="B71" s="19" t="s">
        <v>406</v>
      </c>
      <c r="C71" s="19" t="s">
        <v>407</v>
      </c>
      <c r="D71" s="19" t="s">
        <v>406</v>
      </c>
      <c r="E71" s="19" t="s">
        <v>408</v>
      </c>
      <c r="F71" s="20">
        <v>32580.0</v>
      </c>
      <c r="G71" s="19" t="s">
        <v>409</v>
      </c>
      <c r="H71" s="19" t="s">
        <v>31</v>
      </c>
      <c r="I71" s="19" t="s">
        <v>18</v>
      </c>
      <c r="J71" s="19" t="s">
        <v>410</v>
      </c>
      <c r="K71" s="19" t="s">
        <v>411</v>
      </c>
      <c r="M71" s="19" t="s">
        <v>74</v>
      </c>
    </row>
    <row r="72" ht="22.5" customHeight="1">
      <c r="A72" s="18">
        <v>46134.45097331019</v>
      </c>
      <c r="B72" s="19" t="s">
        <v>412</v>
      </c>
      <c r="C72" s="19" t="s">
        <v>413</v>
      </c>
      <c r="D72" s="19" t="s">
        <v>412</v>
      </c>
      <c r="E72" s="19" t="s">
        <v>414</v>
      </c>
      <c r="F72" s="20">
        <v>30028.0</v>
      </c>
      <c r="G72" s="19" t="s">
        <v>415</v>
      </c>
      <c r="H72" s="19" t="s">
        <v>50</v>
      </c>
      <c r="I72" s="19" t="s">
        <v>18</v>
      </c>
      <c r="J72" s="19" t="s">
        <v>416</v>
      </c>
      <c r="M72" s="19" t="s">
        <v>74</v>
      </c>
    </row>
    <row r="73" ht="22.5" customHeight="1">
      <c r="A73" s="18">
        <v>46134.452423553244</v>
      </c>
      <c r="B73" s="19" t="s">
        <v>406</v>
      </c>
      <c r="C73" s="19" t="s">
        <v>407</v>
      </c>
      <c r="D73" s="19" t="s">
        <v>406</v>
      </c>
      <c r="E73" s="19" t="s">
        <v>408</v>
      </c>
      <c r="F73" s="20">
        <v>32580.0</v>
      </c>
      <c r="G73" s="19" t="s">
        <v>409</v>
      </c>
      <c r="H73" s="19" t="s">
        <v>31</v>
      </c>
      <c r="I73" s="19" t="s">
        <v>18</v>
      </c>
      <c r="J73" s="19" t="s">
        <v>410</v>
      </c>
      <c r="K73" s="19" t="s">
        <v>411</v>
      </c>
      <c r="M73" s="19" t="s">
        <v>74</v>
      </c>
    </row>
    <row r="74" ht="22.5" customHeight="1">
      <c r="A74" s="18">
        <v>46134.4549793287</v>
      </c>
      <c r="B74" s="19" t="s">
        <v>417</v>
      </c>
      <c r="C74" s="19" t="s">
        <v>418</v>
      </c>
      <c r="D74" s="19" t="s">
        <v>417</v>
      </c>
      <c r="E74" s="19" t="s">
        <v>419</v>
      </c>
      <c r="F74" s="20">
        <v>22907.0</v>
      </c>
      <c r="G74" s="19" t="s">
        <v>420</v>
      </c>
      <c r="H74" s="19" t="s">
        <v>31</v>
      </c>
      <c r="I74" s="19" t="s">
        <v>18</v>
      </c>
      <c r="J74" s="19" t="s">
        <v>421</v>
      </c>
      <c r="K74" s="19" t="s">
        <v>411</v>
      </c>
      <c r="M74" s="19" t="s">
        <v>74</v>
      </c>
    </row>
    <row r="75" ht="22.5" customHeight="1">
      <c r="A75" s="18">
        <v>46134.457319849535</v>
      </c>
      <c r="B75" s="19" t="s">
        <v>417</v>
      </c>
      <c r="C75" s="19" t="s">
        <v>422</v>
      </c>
      <c r="D75" s="19" t="s">
        <v>417</v>
      </c>
      <c r="E75" s="19" t="s">
        <v>419</v>
      </c>
      <c r="F75" s="20">
        <v>22907.0</v>
      </c>
      <c r="G75" s="19" t="s">
        <v>420</v>
      </c>
      <c r="H75" s="19" t="s">
        <v>31</v>
      </c>
      <c r="I75" s="19" t="s">
        <v>18</v>
      </c>
      <c r="J75" s="19" t="s">
        <v>421</v>
      </c>
      <c r="K75" s="19" t="s">
        <v>411</v>
      </c>
      <c r="M75" s="19" t="s">
        <v>74</v>
      </c>
    </row>
    <row r="76" ht="22.5" customHeight="1">
      <c r="A76" s="18">
        <v>46134.52186079861</v>
      </c>
      <c r="B76" s="19" t="s">
        <v>423</v>
      </c>
      <c r="C76" s="19" t="s">
        <v>424</v>
      </c>
      <c r="D76" s="19" t="s">
        <v>423</v>
      </c>
      <c r="E76" s="19" t="s">
        <v>425</v>
      </c>
      <c r="F76" s="20">
        <v>26722.0</v>
      </c>
      <c r="G76" s="19" t="s">
        <v>426</v>
      </c>
      <c r="H76" s="19" t="s">
        <v>27</v>
      </c>
      <c r="I76" s="19" t="s">
        <v>18</v>
      </c>
      <c r="J76" s="19" t="s">
        <v>427</v>
      </c>
      <c r="M76" s="19" t="s">
        <v>74</v>
      </c>
    </row>
    <row r="77" ht="22.5" customHeight="1">
      <c r="A77" s="18">
        <v>46134.522420821755</v>
      </c>
      <c r="B77" s="19" t="s">
        <v>428</v>
      </c>
      <c r="C77" s="19" t="s">
        <v>429</v>
      </c>
      <c r="D77" s="19" t="s">
        <v>428</v>
      </c>
      <c r="E77" s="19" t="s">
        <v>430</v>
      </c>
      <c r="F77" s="20">
        <v>27611.0</v>
      </c>
      <c r="G77" s="19" t="s">
        <v>431</v>
      </c>
      <c r="H77" s="19" t="s">
        <v>56</v>
      </c>
      <c r="I77" s="19" t="s">
        <v>16</v>
      </c>
      <c r="L77" s="19" t="s">
        <v>432</v>
      </c>
      <c r="M77" s="19" t="s">
        <v>74</v>
      </c>
    </row>
    <row r="78" ht="22.5" customHeight="1">
      <c r="A78" s="18">
        <v>46134.64480296297</v>
      </c>
      <c r="B78" s="19" t="s">
        <v>433</v>
      </c>
      <c r="C78" s="19" t="s">
        <v>434</v>
      </c>
      <c r="D78" s="19" t="s">
        <v>433</v>
      </c>
      <c r="E78" s="19" t="s">
        <v>435</v>
      </c>
      <c r="F78" s="20">
        <v>34466.0</v>
      </c>
      <c r="G78" s="19" t="s">
        <v>436</v>
      </c>
      <c r="H78" s="19" t="s">
        <v>46</v>
      </c>
      <c r="I78" s="19" t="s">
        <v>18</v>
      </c>
      <c r="J78" s="19" t="s">
        <v>437</v>
      </c>
      <c r="M78" s="19" t="s">
        <v>74</v>
      </c>
    </row>
    <row r="79" ht="22.5" customHeight="1">
      <c r="A79" s="18">
        <v>46134.64559163194</v>
      </c>
      <c r="B79" s="19" t="s">
        <v>438</v>
      </c>
      <c r="C79" s="19" t="s">
        <v>439</v>
      </c>
      <c r="D79" s="19" t="s">
        <v>438</v>
      </c>
      <c r="E79" s="19" t="s">
        <v>440</v>
      </c>
      <c r="F79" s="20">
        <v>21003.0</v>
      </c>
      <c r="G79" s="19" t="s">
        <v>441</v>
      </c>
      <c r="H79" s="19" t="s">
        <v>46</v>
      </c>
      <c r="I79" s="19" t="s">
        <v>18</v>
      </c>
      <c r="J79" s="19" t="s">
        <v>442</v>
      </c>
      <c r="M79" s="19" t="s">
        <v>74</v>
      </c>
    </row>
    <row r="80" ht="22.5" customHeight="1">
      <c r="A80" s="18">
        <v>46134.67275848379</v>
      </c>
      <c r="B80" s="19" t="s">
        <v>443</v>
      </c>
      <c r="C80" s="19" t="s">
        <v>444</v>
      </c>
      <c r="D80" s="19" t="s">
        <v>443</v>
      </c>
      <c r="E80" s="19" t="s">
        <v>445</v>
      </c>
      <c r="F80" s="20">
        <v>28818.0</v>
      </c>
      <c r="G80" s="19" t="s">
        <v>446</v>
      </c>
      <c r="H80" s="19" t="s">
        <v>46</v>
      </c>
      <c r="I80" s="19" t="s">
        <v>16</v>
      </c>
      <c r="L80" s="19" t="s">
        <v>138</v>
      </c>
      <c r="M80" s="19" t="s">
        <v>74</v>
      </c>
    </row>
    <row r="81" ht="22.5" customHeight="1">
      <c r="A81" s="18">
        <v>46135.34524740741</v>
      </c>
      <c r="B81" s="19" t="s">
        <v>447</v>
      </c>
      <c r="C81" s="19" t="s">
        <v>448</v>
      </c>
      <c r="D81" s="19" t="s">
        <v>447</v>
      </c>
      <c r="E81" s="19" t="s">
        <v>449</v>
      </c>
      <c r="F81" s="20">
        <v>32078.0</v>
      </c>
      <c r="G81" s="19" t="s">
        <v>450</v>
      </c>
      <c r="H81" s="19" t="s">
        <v>6</v>
      </c>
      <c r="I81" s="19" t="s">
        <v>18</v>
      </c>
      <c r="J81" s="19" t="s">
        <v>451</v>
      </c>
      <c r="M81" s="19" t="s">
        <v>74</v>
      </c>
    </row>
    <row r="82" ht="22.5" customHeight="1">
      <c r="A82" s="18">
        <v>46135.39014552083</v>
      </c>
      <c r="B82" s="19" t="s">
        <v>452</v>
      </c>
      <c r="C82" s="19" t="s">
        <v>453</v>
      </c>
      <c r="D82" s="19" t="s">
        <v>452</v>
      </c>
      <c r="E82" s="19" t="s">
        <v>454</v>
      </c>
      <c r="F82" s="20">
        <v>31655.0</v>
      </c>
      <c r="G82" s="19" t="s">
        <v>455</v>
      </c>
      <c r="H82" s="19" t="s">
        <v>56</v>
      </c>
      <c r="I82" s="19" t="s">
        <v>18</v>
      </c>
      <c r="J82" s="19" t="s">
        <v>456</v>
      </c>
      <c r="M82" s="19" t="s">
        <v>74</v>
      </c>
    </row>
    <row r="83" ht="22.5" customHeight="1">
      <c r="A83" s="18">
        <v>46135.44776296296</v>
      </c>
      <c r="B83" s="19" t="s">
        <v>457</v>
      </c>
      <c r="C83" s="19" t="s">
        <v>458</v>
      </c>
      <c r="D83" s="19" t="s">
        <v>459</v>
      </c>
      <c r="E83" s="19" t="s">
        <v>460</v>
      </c>
      <c r="F83" s="20">
        <v>30880.0</v>
      </c>
      <c r="G83" s="19" t="s">
        <v>461</v>
      </c>
      <c r="H83" s="19" t="s">
        <v>28</v>
      </c>
      <c r="I83" s="19" t="s">
        <v>18</v>
      </c>
      <c r="J83" s="19" t="s">
        <v>462</v>
      </c>
      <c r="K83" s="19" t="s">
        <v>463</v>
      </c>
      <c r="M83" s="19" t="s">
        <v>74</v>
      </c>
    </row>
    <row r="84" ht="22.5" customHeight="1">
      <c r="A84" s="18">
        <v>46135.692660925924</v>
      </c>
      <c r="B84" s="19" t="s">
        <v>457</v>
      </c>
      <c r="C84" s="19" t="s">
        <v>464</v>
      </c>
      <c r="D84" s="19" t="s">
        <v>457</v>
      </c>
      <c r="E84" s="19" t="s">
        <v>465</v>
      </c>
      <c r="F84" s="20">
        <v>26206.0</v>
      </c>
      <c r="G84" s="19" t="s">
        <v>466</v>
      </c>
      <c r="H84" s="19" t="s">
        <v>28</v>
      </c>
      <c r="I84" s="19" t="s">
        <v>18</v>
      </c>
      <c r="J84" s="19" t="s">
        <v>467</v>
      </c>
      <c r="K84" s="19" t="s">
        <v>468</v>
      </c>
      <c r="M84" s="19" t="s">
        <v>74</v>
      </c>
    </row>
    <row r="85" ht="22.5" customHeight="1">
      <c r="A85" s="18">
        <v>46136.356654953706</v>
      </c>
      <c r="B85" s="19" t="s">
        <v>447</v>
      </c>
      <c r="C85" s="19" t="s">
        <v>469</v>
      </c>
      <c r="D85" s="19" t="s">
        <v>447</v>
      </c>
      <c r="E85" s="19" t="s">
        <v>470</v>
      </c>
      <c r="F85" s="20">
        <v>33492.0</v>
      </c>
      <c r="G85" s="19" t="s">
        <v>471</v>
      </c>
      <c r="H85" s="19" t="s">
        <v>6</v>
      </c>
      <c r="I85" s="19" t="s">
        <v>18</v>
      </c>
      <c r="J85" s="19" t="s">
        <v>199</v>
      </c>
      <c r="M85" s="19" t="s">
        <v>74</v>
      </c>
    </row>
    <row r="86" ht="22.5" customHeight="1">
      <c r="A86" s="18">
        <v>46136.37500800926</v>
      </c>
      <c r="B86" s="19" t="s">
        <v>472</v>
      </c>
      <c r="C86" s="19" t="s">
        <v>473</v>
      </c>
      <c r="D86" s="19" t="s">
        <v>472</v>
      </c>
      <c r="E86" s="19" t="s">
        <v>474</v>
      </c>
      <c r="F86" s="20">
        <v>35675.0</v>
      </c>
      <c r="G86" s="19" t="s">
        <v>475</v>
      </c>
      <c r="H86" s="19" t="s">
        <v>28</v>
      </c>
      <c r="I86" s="19" t="s">
        <v>18</v>
      </c>
      <c r="J86" s="19" t="s">
        <v>476</v>
      </c>
      <c r="M86" s="19" t="s">
        <v>74</v>
      </c>
    </row>
    <row r="87" ht="22.5" customHeight="1">
      <c r="A87" s="18">
        <v>46136.55027849537</v>
      </c>
      <c r="B87" s="19" t="s">
        <v>477</v>
      </c>
      <c r="C87" s="19" t="s">
        <v>478</v>
      </c>
      <c r="D87" s="19" t="s">
        <v>477</v>
      </c>
      <c r="E87" s="19" t="s">
        <v>479</v>
      </c>
      <c r="F87" s="20">
        <v>39143.0</v>
      </c>
      <c r="G87" s="19" t="s">
        <v>480</v>
      </c>
      <c r="H87" s="19" t="s">
        <v>10</v>
      </c>
      <c r="I87" s="19" t="s">
        <v>18</v>
      </c>
      <c r="J87" s="19" t="s">
        <v>481</v>
      </c>
      <c r="M87" s="19" t="s">
        <v>74</v>
      </c>
    </row>
    <row r="88" ht="22.5" customHeight="1">
      <c r="A88" s="18">
        <v>46136.55387063658</v>
      </c>
      <c r="B88" s="19" t="s">
        <v>482</v>
      </c>
      <c r="C88" s="19" t="s">
        <v>483</v>
      </c>
      <c r="D88" s="19" t="s">
        <v>482</v>
      </c>
      <c r="E88" s="19" t="s">
        <v>484</v>
      </c>
      <c r="F88" s="20">
        <v>32623.0</v>
      </c>
      <c r="G88" s="19" t="s">
        <v>485</v>
      </c>
      <c r="H88" s="19" t="s">
        <v>10</v>
      </c>
      <c r="I88" s="19" t="s">
        <v>16</v>
      </c>
      <c r="L88" s="19" t="s">
        <v>113</v>
      </c>
      <c r="M88" s="19" t="s">
        <v>74</v>
      </c>
    </row>
    <row r="89" ht="22.5" customHeight="1">
      <c r="A89" s="18">
        <v>46136.56027850695</v>
      </c>
      <c r="B89" s="19" t="s">
        <v>486</v>
      </c>
      <c r="C89" s="19" t="s">
        <v>487</v>
      </c>
      <c r="D89" s="19" t="s">
        <v>486</v>
      </c>
      <c r="E89" s="19" t="s">
        <v>488</v>
      </c>
      <c r="F89" s="20">
        <v>30617.0</v>
      </c>
      <c r="G89" s="19" t="s">
        <v>489</v>
      </c>
      <c r="H89" s="19" t="s">
        <v>10</v>
      </c>
      <c r="I89" s="19" t="s">
        <v>18</v>
      </c>
      <c r="J89" s="19" t="s">
        <v>490</v>
      </c>
      <c r="M89" s="19" t="s">
        <v>74</v>
      </c>
    </row>
    <row r="90" ht="22.5" customHeight="1">
      <c r="A90" s="18">
        <v>46136.57316165509</v>
      </c>
      <c r="B90" s="19" t="s">
        <v>491</v>
      </c>
      <c r="C90" s="19" t="s">
        <v>492</v>
      </c>
      <c r="D90" s="19" t="s">
        <v>491</v>
      </c>
      <c r="E90" s="19" t="s">
        <v>493</v>
      </c>
      <c r="F90" s="20">
        <v>35260.0</v>
      </c>
      <c r="G90" s="19" t="s">
        <v>494</v>
      </c>
      <c r="H90" s="19" t="s">
        <v>10</v>
      </c>
      <c r="I90" s="19" t="s">
        <v>18</v>
      </c>
      <c r="J90" s="19" t="s">
        <v>495</v>
      </c>
      <c r="M90" s="19" t="s">
        <v>74</v>
      </c>
    </row>
    <row r="91" ht="22.5" customHeight="1">
      <c r="A91" s="18">
        <v>46136.57403953704</v>
      </c>
      <c r="B91" s="19" t="s">
        <v>496</v>
      </c>
      <c r="C91" s="19" t="s">
        <v>497</v>
      </c>
      <c r="D91" s="19" t="s">
        <v>496</v>
      </c>
      <c r="E91" s="19" t="s">
        <v>498</v>
      </c>
      <c r="F91" s="20">
        <v>22478.0</v>
      </c>
      <c r="G91" s="19" t="s">
        <v>499</v>
      </c>
      <c r="H91" s="19" t="s">
        <v>3</v>
      </c>
      <c r="I91" s="19" t="s">
        <v>18</v>
      </c>
      <c r="J91" s="19" t="s">
        <v>500</v>
      </c>
      <c r="M91" s="19" t="s">
        <v>74</v>
      </c>
    </row>
    <row r="92" ht="22.5" customHeight="1">
      <c r="A92" s="18">
        <v>46136.63416915509</v>
      </c>
      <c r="B92" s="19" t="s">
        <v>501</v>
      </c>
      <c r="C92" s="19" t="s">
        <v>502</v>
      </c>
      <c r="D92" s="19" t="s">
        <v>501</v>
      </c>
      <c r="E92" s="19" t="s">
        <v>503</v>
      </c>
      <c r="F92" s="20">
        <v>31750.0</v>
      </c>
      <c r="G92" s="19" t="s">
        <v>504</v>
      </c>
      <c r="H92" s="19" t="s">
        <v>3</v>
      </c>
      <c r="I92" s="19" t="s">
        <v>18</v>
      </c>
      <c r="J92" s="19" t="s">
        <v>505</v>
      </c>
      <c r="M92" s="19" t="s">
        <v>74</v>
      </c>
    </row>
    <row r="93" ht="22.5" customHeight="1">
      <c r="A93" s="18">
        <v>46136.65687734954</v>
      </c>
      <c r="B93" s="19" t="s">
        <v>506</v>
      </c>
      <c r="C93" s="19" t="s">
        <v>507</v>
      </c>
      <c r="D93" s="19" t="s">
        <v>506</v>
      </c>
      <c r="E93" s="19" t="s">
        <v>508</v>
      </c>
      <c r="F93" s="20">
        <v>25539.0</v>
      </c>
      <c r="G93" s="19" t="s">
        <v>509</v>
      </c>
      <c r="H93" s="19" t="s">
        <v>3</v>
      </c>
      <c r="I93" s="19" t="s">
        <v>16</v>
      </c>
      <c r="L93" s="19" t="s">
        <v>510</v>
      </c>
      <c r="M93" s="19" t="s">
        <v>74</v>
      </c>
    </row>
    <row r="94" ht="22.5" customHeight="1">
      <c r="A94" s="18">
        <v>46136.69184254629</v>
      </c>
      <c r="B94" s="19" t="s">
        <v>511</v>
      </c>
      <c r="C94" s="19" t="s">
        <v>512</v>
      </c>
      <c r="D94" s="19" t="s">
        <v>511</v>
      </c>
      <c r="E94" s="19" t="s">
        <v>513</v>
      </c>
      <c r="F94" s="20">
        <v>26178.0</v>
      </c>
      <c r="G94" s="19" t="s">
        <v>514</v>
      </c>
      <c r="H94" s="19" t="s">
        <v>10</v>
      </c>
      <c r="I94" s="19" t="s">
        <v>18</v>
      </c>
      <c r="J94" s="19" t="s">
        <v>515</v>
      </c>
      <c r="K94" s="19" t="s">
        <v>516</v>
      </c>
      <c r="M94" s="19" t="s">
        <v>74</v>
      </c>
    </row>
    <row r="95" ht="22.5" customHeight="1">
      <c r="A95" s="18">
        <v>46137.63953332176</v>
      </c>
      <c r="B95" s="19" t="s">
        <v>517</v>
      </c>
      <c r="C95" s="19" t="s">
        <v>518</v>
      </c>
      <c r="D95" s="19" t="s">
        <v>517</v>
      </c>
      <c r="E95" s="19" t="s">
        <v>519</v>
      </c>
      <c r="F95" s="20">
        <v>35284.0</v>
      </c>
      <c r="G95" s="19" t="s">
        <v>520</v>
      </c>
      <c r="H95" s="19" t="s">
        <v>50</v>
      </c>
      <c r="I95" s="19" t="s">
        <v>18</v>
      </c>
      <c r="J95" s="19" t="s">
        <v>521</v>
      </c>
      <c r="M95" s="19" t="s">
        <v>74</v>
      </c>
    </row>
    <row r="96" ht="22.5" customHeight="1">
      <c r="A96" s="18">
        <v>46139.41066282407</v>
      </c>
      <c r="B96" s="19" t="s">
        <v>522</v>
      </c>
      <c r="C96" s="19" t="s">
        <v>523</v>
      </c>
      <c r="D96" s="19" t="s">
        <v>522</v>
      </c>
      <c r="E96" s="19" t="s">
        <v>524</v>
      </c>
      <c r="F96" s="20">
        <v>28624.0</v>
      </c>
      <c r="G96" s="19" t="s">
        <v>525</v>
      </c>
      <c r="H96" s="19" t="s">
        <v>53</v>
      </c>
      <c r="I96" s="19" t="s">
        <v>18</v>
      </c>
      <c r="J96" s="19" t="s">
        <v>526</v>
      </c>
      <c r="M96" s="19" t="s">
        <v>74</v>
      </c>
    </row>
    <row r="97" ht="22.5" customHeight="1">
      <c r="A97" s="18">
        <v>46139.43452795139</v>
      </c>
      <c r="B97" s="19" t="s">
        <v>527</v>
      </c>
      <c r="C97" s="19" t="s">
        <v>528</v>
      </c>
      <c r="D97" s="19" t="s">
        <v>527</v>
      </c>
      <c r="E97" s="19" t="s">
        <v>529</v>
      </c>
      <c r="F97" s="20">
        <v>28642.0</v>
      </c>
      <c r="G97" s="19" t="s">
        <v>530</v>
      </c>
      <c r="H97" s="19" t="s">
        <v>35</v>
      </c>
      <c r="I97" s="19" t="s">
        <v>18</v>
      </c>
      <c r="J97" s="19" t="s">
        <v>531</v>
      </c>
      <c r="M97" s="19" t="s">
        <v>74</v>
      </c>
    </row>
    <row r="98" ht="22.5" customHeight="1">
      <c r="A98" s="18">
        <v>46139.437000590275</v>
      </c>
      <c r="B98" s="19" t="s">
        <v>532</v>
      </c>
      <c r="C98" s="19" t="s">
        <v>533</v>
      </c>
      <c r="D98" s="19" t="s">
        <v>532</v>
      </c>
      <c r="E98" s="19" t="s">
        <v>534</v>
      </c>
      <c r="F98" s="20">
        <v>25875.0</v>
      </c>
      <c r="G98" s="19" t="s">
        <v>535</v>
      </c>
      <c r="H98" s="19" t="s">
        <v>35</v>
      </c>
      <c r="I98" s="19" t="s">
        <v>18</v>
      </c>
      <c r="J98" s="19" t="s">
        <v>536</v>
      </c>
      <c r="M98" s="19" t="s">
        <v>74</v>
      </c>
    </row>
    <row r="99" ht="22.5" customHeight="1">
      <c r="A99" s="18">
        <v>46139.437258923615</v>
      </c>
      <c r="B99" s="19" t="s">
        <v>537</v>
      </c>
      <c r="C99" s="19" t="s">
        <v>538</v>
      </c>
      <c r="D99" s="19" t="s">
        <v>537</v>
      </c>
      <c r="E99" s="19" t="s">
        <v>539</v>
      </c>
      <c r="F99" s="20">
        <v>34499.0</v>
      </c>
      <c r="G99" s="19" t="s">
        <v>540</v>
      </c>
      <c r="H99" s="19" t="s">
        <v>20</v>
      </c>
      <c r="I99" s="19" t="s">
        <v>18</v>
      </c>
      <c r="J99" s="19" t="s">
        <v>541</v>
      </c>
      <c r="M99" s="19" t="s">
        <v>74</v>
      </c>
    </row>
    <row r="100" ht="22.5" customHeight="1">
      <c r="A100" s="18">
        <v>46139.55970802083</v>
      </c>
      <c r="B100" s="19" t="s">
        <v>542</v>
      </c>
      <c r="C100" s="19" t="s">
        <v>543</v>
      </c>
      <c r="D100" s="19" t="s">
        <v>542</v>
      </c>
      <c r="E100" s="19" t="s">
        <v>544</v>
      </c>
      <c r="F100" s="20">
        <v>27181.0</v>
      </c>
      <c r="G100" s="19" t="s">
        <v>545</v>
      </c>
      <c r="H100" s="19" t="s">
        <v>4</v>
      </c>
      <c r="I100" s="19" t="s">
        <v>18</v>
      </c>
      <c r="J100" s="19" t="s">
        <v>546</v>
      </c>
      <c r="M100" s="19" t="s">
        <v>74</v>
      </c>
    </row>
    <row r="101" ht="22.5" customHeight="1">
      <c r="A101" s="18">
        <v>46139.56486125</v>
      </c>
      <c r="B101" s="19" t="s">
        <v>547</v>
      </c>
      <c r="C101" s="19" t="s">
        <v>548</v>
      </c>
      <c r="D101" s="19" t="s">
        <v>549</v>
      </c>
      <c r="E101" s="19" t="s">
        <v>550</v>
      </c>
      <c r="F101" s="20">
        <v>27361.0</v>
      </c>
      <c r="G101" s="19" t="s">
        <v>551</v>
      </c>
      <c r="H101" s="19" t="s">
        <v>4</v>
      </c>
      <c r="I101" s="19" t="s">
        <v>18</v>
      </c>
      <c r="J101" s="19" t="s">
        <v>552</v>
      </c>
      <c r="M101" s="19" t="s">
        <v>74</v>
      </c>
    </row>
    <row r="102" ht="22.5" customHeight="1">
      <c r="A102" s="18">
        <v>46139.568750011575</v>
      </c>
      <c r="B102" s="19" t="s">
        <v>553</v>
      </c>
      <c r="C102" s="19" t="s">
        <v>554</v>
      </c>
      <c r="D102" s="19" t="s">
        <v>555</v>
      </c>
      <c r="E102" s="19" t="s">
        <v>556</v>
      </c>
      <c r="F102" s="20">
        <v>25378.0</v>
      </c>
      <c r="G102" s="19" t="s">
        <v>557</v>
      </c>
      <c r="H102" s="19" t="s">
        <v>4</v>
      </c>
      <c r="I102" s="19" t="s">
        <v>16</v>
      </c>
      <c r="L102" s="19" t="s">
        <v>558</v>
      </c>
      <c r="M102" s="19" t="s">
        <v>74</v>
      </c>
    </row>
    <row r="103" ht="22.5" customHeight="1">
      <c r="A103" s="18">
        <v>46139.570974699076</v>
      </c>
      <c r="B103" s="19" t="s">
        <v>542</v>
      </c>
      <c r="C103" s="19" t="s">
        <v>543</v>
      </c>
      <c r="D103" s="19" t="s">
        <v>542</v>
      </c>
      <c r="E103" s="19" t="s">
        <v>544</v>
      </c>
      <c r="F103" s="20">
        <v>27066.0</v>
      </c>
      <c r="G103" s="19" t="s">
        <v>545</v>
      </c>
      <c r="H103" s="19" t="s">
        <v>4</v>
      </c>
      <c r="I103" s="19" t="s">
        <v>18</v>
      </c>
      <c r="J103" s="19" t="s">
        <v>546</v>
      </c>
      <c r="M103" s="19" t="s">
        <v>74</v>
      </c>
    </row>
    <row r="104" ht="22.5" customHeight="1">
      <c r="A104" s="18">
        <v>46139.580106469904</v>
      </c>
      <c r="B104" s="19" t="s">
        <v>559</v>
      </c>
      <c r="C104" s="19" t="s">
        <v>560</v>
      </c>
      <c r="D104" s="19" t="s">
        <v>559</v>
      </c>
      <c r="E104" s="19" t="s">
        <v>561</v>
      </c>
      <c r="F104" s="20">
        <v>31450.0</v>
      </c>
      <c r="G104" s="19" t="s">
        <v>562</v>
      </c>
      <c r="H104" s="19" t="s">
        <v>29</v>
      </c>
      <c r="I104" s="19" t="s">
        <v>18</v>
      </c>
      <c r="J104" s="19" t="s">
        <v>563</v>
      </c>
      <c r="M104" s="19" t="s">
        <v>74</v>
      </c>
    </row>
    <row r="105" ht="22.5" customHeight="1">
      <c r="A105" s="18">
        <v>46139.589667175926</v>
      </c>
      <c r="B105" s="19" t="s">
        <v>564</v>
      </c>
      <c r="C105" s="19" t="s">
        <v>565</v>
      </c>
      <c r="D105" s="19" t="s">
        <v>564</v>
      </c>
      <c r="E105" s="19" t="s">
        <v>566</v>
      </c>
      <c r="F105" s="20">
        <v>26177.0</v>
      </c>
      <c r="G105" s="19" t="s">
        <v>567</v>
      </c>
      <c r="H105" s="19" t="s">
        <v>24</v>
      </c>
      <c r="I105" s="19" t="s">
        <v>18</v>
      </c>
      <c r="J105" s="19" t="s">
        <v>568</v>
      </c>
      <c r="M105" s="19" t="s">
        <v>74</v>
      </c>
    </row>
    <row r="106" ht="22.5" customHeight="1">
      <c r="A106" s="18">
        <v>46139.594012800924</v>
      </c>
      <c r="B106" s="19" t="s">
        <v>569</v>
      </c>
      <c r="C106" s="19" t="s">
        <v>570</v>
      </c>
      <c r="D106" s="19" t="s">
        <v>569</v>
      </c>
      <c r="E106" s="19" t="s">
        <v>571</v>
      </c>
      <c r="F106" s="20">
        <v>25609.0</v>
      </c>
      <c r="G106" s="19" t="s">
        <v>572</v>
      </c>
      <c r="H106" s="19" t="s">
        <v>29</v>
      </c>
      <c r="I106" s="19" t="s">
        <v>16</v>
      </c>
      <c r="L106" s="19" t="s">
        <v>292</v>
      </c>
      <c r="M106" s="19" t="s">
        <v>74</v>
      </c>
    </row>
    <row r="107" ht="22.5" customHeight="1">
      <c r="A107" s="18">
        <v>46139.61790884259</v>
      </c>
      <c r="B107" s="19" t="s">
        <v>573</v>
      </c>
      <c r="C107" s="19" t="s">
        <v>574</v>
      </c>
      <c r="D107" s="19" t="s">
        <v>573</v>
      </c>
      <c r="E107" s="19" t="s">
        <v>575</v>
      </c>
      <c r="F107" s="20">
        <v>46139.0</v>
      </c>
      <c r="G107" s="19" t="s">
        <v>576</v>
      </c>
      <c r="H107" s="19" t="s">
        <v>29</v>
      </c>
      <c r="I107" s="19" t="s">
        <v>16</v>
      </c>
      <c r="L107" s="19" t="s">
        <v>577</v>
      </c>
      <c r="M107" s="19" t="s">
        <v>74</v>
      </c>
    </row>
    <row r="108" ht="22.5" customHeight="1">
      <c r="A108" s="18">
        <v>46139.62984998843</v>
      </c>
      <c r="B108" s="19" t="s">
        <v>578</v>
      </c>
      <c r="C108" s="19" t="s">
        <v>579</v>
      </c>
      <c r="D108" s="19" t="s">
        <v>578</v>
      </c>
      <c r="E108" s="19" t="s">
        <v>580</v>
      </c>
      <c r="F108" s="20">
        <v>33677.0</v>
      </c>
      <c r="G108" s="19" t="s">
        <v>581</v>
      </c>
      <c r="H108" s="19" t="s">
        <v>5</v>
      </c>
      <c r="I108" s="19" t="s">
        <v>16</v>
      </c>
      <c r="L108" s="19" t="s">
        <v>582</v>
      </c>
      <c r="M108" s="19" t="s">
        <v>74</v>
      </c>
    </row>
    <row r="109" ht="22.5" customHeight="1">
      <c r="A109" s="18">
        <v>46139.63861836806</v>
      </c>
      <c r="B109" s="19" t="s">
        <v>583</v>
      </c>
      <c r="C109" s="19" t="s">
        <v>584</v>
      </c>
      <c r="D109" s="19" t="s">
        <v>583</v>
      </c>
      <c r="E109" s="19" t="s">
        <v>585</v>
      </c>
      <c r="F109" s="20">
        <v>36848.0</v>
      </c>
      <c r="G109" s="19" t="s">
        <v>586</v>
      </c>
      <c r="H109" s="19" t="s">
        <v>29</v>
      </c>
      <c r="I109" s="19" t="s">
        <v>18</v>
      </c>
      <c r="J109" s="19" t="s">
        <v>587</v>
      </c>
      <c r="M109" s="19" t="s">
        <v>74</v>
      </c>
    </row>
    <row r="110" ht="22.5" customHeight="1">
      <c r="A110" s="18">
        <v>46140.34916378472</v>
      </c>
      <c r="B110" s="19" t="s">
        <v>447</v>
      </c>
      <c r="C110" s="19" t="s">
        <v>469</v>
      </c>
      <c r="D110" s="19" t="s">
        <v>447</v>
      </c>
      <c r="E110" s="19" t="s">
        <v>470</v>
      </c>
      <c r="F110" s="20">
        <v>33492.0</v>
      </c>
      <c r="G110" s="19" t="s">
        <v>471</v>
      </c>
      <c r="H110" s="19" t="s">
        <v>6</v>
      </c>
      <c r="I110" s="19" t="s">
        <v>18</v>
      </c>
      <c r="J110" s="19" t="s">
        <v>199</v>
      </c>
      <c r="M110" s="19" t="s">
        <v>74</v>
      </c>
    </row>
    <row r="111" ht="22.5" customHeight="1">
      <c r="A111" s="18">
        <v>46140.66690787037</v>
      </c>
      <c r="B111" s="19" t="s">
        <v>588</v>
      </c>
      <c r="C111" s="19" t="s">
        <v>589</v>
      </c>
      <c r="D111" s="19" t="s">
        <v>590</v>
      </c>
      <c r="E111" s="19" t="s">
        <v>591</v>
      </c>
      <c r="F111" s="20">
        <v>24411.0</v>
      </c>
      <c r="G111" s="19" t="s">
        <v>592</v>
      </c>
      <c r="H111" s="19" t="s">
        <v>20</v>
      </c>
      <c r="I111" s="19" t="s">
        <v>18</v>
      </c>
      <c r="J111" s="19" t="s">
        <v>593</v>
      </c>
      <c r="M111" s="19" t="s">
        <v>74</v>
      </c>
    </row>
    <row r="112" ht="22.5" customHeight="1">
      <c r="A112" s="18">
        <v>46140.667606435185</v>
      </c>
      <c r="B112" s="19" t="s">
        <v>594</v>
      </c>
      <c r="C112" s="19" t="s">
        <v>595</v>
      </c>
      <c r="D112" s="19" t="s">
        <v>596</v>
      </c>
      <c r="E112" s="19" t="s">
        <v>597</v>
      </c>
      <c r="F112" s="20">
        <v>32872.0</v>
      </c>
      <c r="G112" s="19" t="s">
        <v>598</v>
      </c>
      <c r="H112" s="19" t="s">
        <v>23</v>
      </c>
      <c r="I112" s="19" t="s">
        <v>18</v>
      </c>
      <c r="J112" s="19" t="s">
        <v>599</v>
      </c>
      <c r="M112" s="19" t="s">
        <v>74</v>
      </c>
    </row>
    <row r="113" ht="22.5" customHeight="1">
      <c r="A113" s="18">
        <v>46140.67612070602</v>
      </c>
      <c r="B113" s="19" t="s">
        <v>600</v>
      </c>
      <c r="C113" s="19" t="s">
        <v>601</v>
      </c>
      <c r="D113" s="19" t="s">
        <v>600</v>
      </c>
      <c r="E113" s="19" t="s">
        <v>602</v>
      </c>
      <c r="F113" s="20">
        <v>30787.0</v>
      </c>
      <c r="G113" s="19" t="s">
        <v>603</v>
      </c>
      <c r="H113" s="19" t="s">
        <v>23</v>
      </c>
      <c r="I113" s="19" t="s">
        <v>18</v>
      </c>
      <c r="J113" s="19" t="s">
        <v>263</v>
      </c>
      <c r="M113" s="19" t="s">
        <v>74</v>
      </c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4.88"/>
  </cols>
  <sheetData>
    <row r="1">
      <c r="A1" s="3" t="s">
        <v>1</v>
      </c>
      <c r="B1" s="5" t="s">
        <v>13</v>
      </c>
      <c r="C1" s="5" t="s">
        <v>16</v>
      </c>
      <c r="D1" s="5" t="s">
        <v>18</v>
      </c>
      <c r="E1" s="6" t="s">
        <v>2</v>
      </c>
    </row>
    <row r="2">
      <c r="A2" s="7" t="s">
        <v>22</v>
      </c>
      <c r="B2" s="8">
        <f>COUNTIF('Respostas ao formulário 1'!$H$2:$H$207,A2)</f>
        <v>1</v>
      </c>
      <c r="C2" s="8">
        <f>COUNTIFS('Respostas ao formulário 1'!$H$2:$H$182,$A2,'Respostas ao formulário 1'!$I$2:$I$182,C$1)</f>
        <v>0</v>
      </c>
      <c r="D2" s="8">
        <f>COUNTIFS('Respostas ao formulário 1'!$H$2:$H$182,$A2,'Respostas ao formulário 1'!$I$2:$I$182,D$1)</f>
        <v>1</v>
      </c>
      <c r="E2" s="12">
        <f>VLOOKUP(A2,Datas!A:B,2,FALSE)</f>
        <v>46142</v>
      </c>
    </row>
    <row r="3">
      <c r="A3" s="7" t="s">
        <v>32</v>
      </c>
      <c r="B3" s="8">
        <f>COUNTIF('Respostas ao formulário 1'!$H$2:$H$207,A3)</f>
        <v>2</v>
      </c>
      <c r="C3" s="8">
        <f>COUNTIFS('Respostas ao formulário 1'!$H$2:$H$182,$A3,'Respostas ao formulário 1'!$I$2:$I$182,C$1)</f>
        <v>0</v>
      </c>
      <c r="D3" s="8">
        <f>COUNTIFS('Respostas ao formulário 1'!$H$2:$H$182,$A3,'Respostas ao formulário 1'!$I$2:$I$182,D$1)</f>
        <v>2</v>
      </c>
      <c r="E3" s="12">
        <f>VLOOKUP(A3,Datas!A:B,2,FALSE)</f>
        <v>46142</v>
      </c>
    </row>
    <row r="4">
      <c r="A4" s="7" t="s">
        <v>33</v>
      </c>
      <c r="B4" s="8">
        <f>COUNTIF('Respostas ao formulário 1'!$H$2:$H$207,A4)</f>
        <v>2</v>
      </c>
      <c r="C4" s="8">
        <f>COUNTIFS('Respostas ao formulário 1'!$H$2:$H$182,$A4,'Respostas ao formulário 1'!$I$2:$I$182,C$1)</f>
        <v>0</v>
      </c>
      <c r="D4" s="8">
        <f>COUNTIFS('Respostas ao formulário 1'!$H$2:$H$182,$A4,'Respostas ao formulário 1'!$I$2:$I$182,D$1)</f>
        <v>2</v>
      </c>
      <c r="E4" s="12">
        <f>VLOOKUP(A4,Datas!A:B,2,FALSE)</f>
        <v>46142</v>
      </c>
    </row>
    <row r="5">
      <c r="A5" s="7" t="s">
        <v>34</v>
      </c>
      <c r="B5" s="8">
        <f>COUNTIF('Respostas ao formulário 1'!$H$2:$H$207,A5)</f>
        <v>1</v>
      </c>
      <c r="C5" s="8">
        <f>COUNTIFS('Respostas ao formulário 1'!$H$2:$H$182,$A5,'Respostas ao formulário 1'!$I$2:$I$182,C$1)</f>
        <v>0</v>
      </c>
      <c r="D5" s="8">
        <f>COUNTIFS('Respostas ao formulário 1'!$H$2:$H$182,$A5,'Respostas ao formulário 1'!$I$2:$I$182,D$1)</f>
        <v>1</v>
      </c>
      <c r="E5" s="12">
        <f>VLOOKUP(A5,Datas!A:B,2,FALSE)</f>
        <v>46142</v>
      </c>
    </row>
    <row r="6">
      <c r="A6" s="7" t="s">
        <v>35</v>
      </c>
      <c r="B6" s="8">
        <f>COUNTIF('Respostas ao formulário 1'!$H$2:$H$207,A6)</f>
        <v>6</v>
      </c>
      <c r="C6" s="8">
        <f>COUNTIFS('Respostas ao formulário 1'!$H$2:$H$182,$A6,'Respostas ao formulário 1'!$I$2:$I$182,C$1)</f>
        <v>1</v>
      </c>
      <c r="D6" s="8">
        <f>COUNTIFS('Respostas ao formulário 1'!$H$2:$H$182,$A6,'Respostas ao formulário 1'!$I$2:$I$182,D$1)</f>
        <v>5</v>
      </c>
      <c r="E6" s="12">
        <f>VLOOKUP(A6,Datas!A:B,2,FALSE)</f>
        <v>46142</v>
      </c>
    </row>
    <row r="7">
      <c r="A7" s="7" t="s">
        <v>36</v>
      </c>
      <c r="B7" s="8">
        <f>COUNTIF('Respostas ao formulário 1'!$H$2:$H$207,A7)</f>
        <v>1</v>
      </c>
      <c r="C7" s="8">
        <f>COUNTIFS('Respostas ao formulário 1'!$H$2:$H$182,$A7,'Respostas ao formulário 1'!$I$2:$I$182,C$1)</f>
        <v>0</v>
      </c>
      <c r="D7" s="8">
        <f>COUNTIFS('Respostas ao formulário 1'!$H$2:$H$182,$A7,'Respostas ao formulário 1'!$I$2:$I$182,D$1)</f>
        <v>1</v>
      </c>
      <c r="E7" s="12">
        <f>VLOOKUP(A7,Datas!A:B,2,FALSE)</f>
        <v>46142</v>
      </c>
    </row>
    <row r="8">
      <c r="A8" s="7" t="s">
        <v>37</v>
      </c>
      <c r="B8" s="8">
        <f>COUNTIF('Respostas ao formulário 1'!$H$2:$H$207,A8)</f>
        <v>0</v>
      </c>
      <c r="C8" s="8">
        <f>COUNTIFS('Respostas ao formulário 1'!$H$2:$H$182,$A8,'Respostas ao formulário 1'!$I$2:$I$182,C$1)</f>
        <v>0</v>
      </c>
      <c r="D8" s="8">
        <f>COUNTIFS('Respostas ao formulário 1'!$H$2:$H$182,$A8,'Respostas ao formulário 1'!$I$2:$I$182,D$1)</f>
        <v>0</v>
      </c>
      <c r="E8" s="12">
        <f>VLOOKUP(A8,Datas!A:B,2,FALSE)</f>
        <v>46142</v>
      </c>
    </row>
    <row r="9">
      <c r="A9" s="7" t="s">
        <v>38</v>
      </c>
      <c r="B9" s="8">
        <f>COUNTIF('Respostas ao formulário 1'!$H$2:$H$207,A9)</f>
        <v>2</v>
      </c>
      <c r="C9" s="8">
        <f>COUNTIFS('Respostas ao formulário 1'!$H$2:$H$182,$A9,'Respostas ao formulário 1'!$I$2:$I$182,C$1)</f>
        <v>0</v>
      </c>
      <c r="D9" s="8">
        <f>COUNTIFS('Respostas ao formulário 1'!$H$2:$H$182,$A9,'Respostas ao formulário 1'!$I$2:$I$182,D$1)</f>
        <v>2</v>
      </c>
      <c r="E9" s="12">
        <f>VLOOKUP(A9,Datas!A:B,2,FALSE)</f>
        <v>46142</v>
      </c>
    </row>
    <row r="10">
      <c r="A10" s="7" t="s">
        <v>39</v>
      </c>
      <c r="B10" s="8">
        <f>COUNTIF('Respostas ao formulário 1'!$H$2:$H$207,A10)</f>
        <v>1</v>
      </c>
      <c r="C10" s="8">
        <f>COUNTIFS('Respostas ao formulário 1'!$H$2:$H$182,$A10,'Respostas ao formulário 1'!$I$2:$I$182,C$1)</f>
        <v>1</v>
      </c>
      <c r="D10" s="8">
        <f>COUNTIFS('Respostas ao formulário 1'!$H$2:$H$182,$A10,'Respostas ao formulário 1'!$I$2:$I$182,D$1)</f>
        <v>0</v>
      </c>
      <c r="E10" s="12">
        <f>VLOOKUP(A10,Datas!A:B,2,FALSE)</f>
        <v>46142</v>
      </c>
    </row>
    <row r="11">
      <c r="A11" s="7" t="s">
        <v>40</v>
      </c>
      <c r="B11" s="8">
        <f>COUNTIF('Respostas ao formulário 1'!$H$2:$H$207,A11)</f>
        <v>0</v>
      </c>
      <c r="C11" s="8">
        <f>COUNTIFS('Respostas ao formulário 1'!$H$2:$H$182,$A11,'Respostas ao formulário 1'!$I$2:$I$182,C$1)</f>
        <v>0</v>
      </c>
      <c r="D11" s="8">
        <f>COUNTIFS('Respostas ao formulário 1'!$H$2:$H$182,$A11,'Respostas ao formulário 1'!$I$2:$I$182,D$1)</f>
        <v>0</v>
      </c>
      <c r="E11" s="12">
        <f>VLOOKUP(A11,Datas!A:B,2,FALSE)</f>
        <v>46142</v>
      </c>
    </row>
    <row r="12">
      <c r="A12" s="7" t="s">
        <v>103</v>
      </c>
      <c r="B12" s="8">
        <f>COUNTIF('Respostas ao formulário 1'!$H$2:$H$207,A12)</f>
        <v>3</v>
      </c>
      <c r="C12" s="8">
        <f>COUNTIFS('Respostas ao formulário 1'!$H$2:$H$182,$A12,'Respostas ao formulário 1'!$I$2:$I$182,C$1)</f>
        <v>1</v>
      </c>
      <c r="D12" s="8">
        <f>COUNTIFS('Respostas ao formulário 1'!$H$2:$H$182,$A12,'Respostas ao formulário 1'!$I$2:$I$182,D$1)</f>
        <v>2</v>
      </c>
      <c r="E12" s="17" t="str">
        <f>VLOOKUP(A12,Datas!A:B,2,FALSE)</f>
        <v>#N/A</v>
      </c>
    </row>
    <row r="13">
      <c r="A13" s="7" t="s">
        <v>42</v>
      </c>
      <c r="B13" s="8">
        <f>COUNTIF('Respostas ao formulário 1'!$H$2:$H$207,A13)</f>
        <v>5</v>
      </c>
      <c r="C13" s="8">
        <f>COUNTIFS('Respostas ao formulário 1'!$H$2:$H$182,$A13,'Respostas ao formulário 1'!$I$2:$I$182,C$1)</f>
        <v>3</v>
      </c>
      <c r="D13" s="8">
        <f>COUNTIFS('Respostas ao formulário 1'!$H$2:$H$182,$A13,'Respostas ao formulário 1'!$I$2:$I$182,D$1)</f>
        <v>2</v>
      </c>
      <c r="E13" s="12">
        <f>VLOOKUP(A13,Datas!A:B,2,FALSE)</f>
        <v>46142</v>
      </c>
    </row>
    <row r="14">
      <c r="A14" s="7" t="s">
        <v>43</v>
      </c>
      <c r="B14" s="8">
        <f>COUNTIF('Respostas ao formulário 1'!$H$2:$H$207,A14)</f>
        <v>0</v>
      </c>
      <c r="C14" s="8">
        <f>COUNTIFS('Respostas ao formulário 1'!$H$2:$H$182,$A14,'Respostas ao formulário 1'!$I$2:$I$182,C$1)</f>
        <v>0</v>
      </c>
      <c r="D14" s="8">
        <f>COUNTIFS('Respostas ao formulário 1'!$H$2:$H$182,$A14,'Respostas ao formulário 1'!$I$2:$I$182,D$1)</f>
        <v>0</v>
      </c>
      <c r="E14" s="12">
        <f>VLOOKUP(A14,Datas!A:B,2,FALSE)</f>
        <v>46142</v>
      </c>
    </row>
    <row r="15">
      <c r="A15" s="7" t="s">
        <v>44</v>
      </c>
      <c r="B15" s="8">
        <f>COUNTIF('Respostas ao formulário 1'!$H$2:$H$207,A15)</f>
        <v>4</v>
      </c>
      <c r="C15" s="8">
        <f>COUNTIFS('Respostas ao formulário 1'!$H$2:$H$182,$A15,'Respostas ao formulário 1'!$I$2:$I$182,C$1)</f>
        <v>0</v>
      </c>
      <c r="D15" s="8">
        <f>COUNTIFS('Respostas ao formulário 1'!$H$2:$H$182,$A15,'Respostas ao formulário 1'!$I$2:$I$182,D$1)</f>
        <v>4</v>
      </c>
      <c r="E15" s="12">
        <f>VLOOKUP(A15,Datas!A:B,2,FALSE)</f>
        <v>46142</v>
      </c>
    </row>
    <row r="16">
      <c r="A16" s="7" t="s">
        <v>45</v>
      </c>
      <c r="B16" s="8">
        <f>COUNTIF('Respostas ao formulário 1'!$H$2:$H$207,A16)</f>
        <v>3</v>
      </c>
      <c r="C16" s="8">
        <f>COUNTIFS('Respostas ao formulário 1'!$H$2:$H$182,$A16,'Respostas ao formulário 1'!$I$2:$I$182,C$1)</f>
        <v>0</v>
      </c>
      <c r="D16" s="8">
        <f>COUNTIFS('Respostas ao formulário 1'!$H$2:$H$182,$A16,'Respostas ao formulário 1'!$I$2:$I$182,D$1)</f>
        <v>3</v>
      </c>
      <c r="E16" s="12">
        <f>VLOOKUP(A16,Datas!A:B,2,FALSE)</f>
        <v>46142</v>
      </c>
    </row>
    <row r="17">
      <c r="A17" s="7" t="s">
        <v>46</v>
      </c>
      <c r="B17" s="8">
        <f>COUNTIF('Respostas ao formulário 1'!$H$2:$H$207,A17)</f>
        <v>3</v>
      </c>
      <c r="C17" s="8">
        <f>COUNTIFS('Respostas ao formulário 1'!$H$2:$H$182,$A17,'Respostas ao formulário 1'!$I$2:$I$182,C$1)</f>
        <v>1</v>
      </c>
      <c r="D17" s="8">
        <f>COUNTIFS('Respostas ao formulário 1'!$H$2:$H$182,$A17,'Respostas ao formulário 1'!$I$2:$I$182,D$1)</f>
        <v>2</v>
      </c>
      <c r="E17" s="12">
        <f>VLOOKUP(A17,Datas!A:B,2,FALSE)</f>
        <v>46142</v>
      </c>
    </row>
    <row r="18">
      <c r="A18" s="7" t="s">
        <v>47</v>
      </c>
      <c r="B18" s="8">
        <f>COUNTIF('Respostas ao formulário 1'!$H$2:$H$207,A18)</f>
        <v>3</v>
      </c>
      <c r="C18" s="8">
        <f>COUNTIFS('Respostas ao formulário 1'!$H$2:$H$182,$A18,'Respostas ao formulário 1'!$I$2:$I$182,C$1)</f>
        <v>1</v>
      </c>
      <c r="D18" s="8">
        <f>COUNTIFS('Respostas ao formulário 1'!$H$2:$H$182,$A18,'Respostas ao formulário 1'!$I$2:$I$182,D$1)</f>
        <v>2</v>
      </c>
      <c r="E18" s="12">
        <f>VLOOKUP(A18,Datas!A:B,2,FALSE)</f>
        <v>46142</v>
      </c>
    </row>
    <row r="19">
      <c r="A19" s="7" t="s">
        <v>48</v>
      </c>
      <c r="B19" s="8">
        <f>COUNTIF('Respostas ao formulário 1'!$H$2:$H$207,A19)</f>
        <v>0</v>
      </c>
      <c r="C19" s="8">
        <f>COUNTIFS('Respostas ao formulário 1'!$H$2:$H$182,$A19,'Respostas ao formulário 1'!$I$2:$I$182,C$1)</f>
        <v>0</v>
      </c>
      <c r="D19" s="8">
        <f>COUNTIFS('Respostas ao formulário 1'!$H$2:$H$182,$A19,'Respostas ao formulário 1'!$I$2:$I$182,D$1)</f>
        <v>0</v>
      </c>
      <c r="E19" s="12">
        <f>VLOOKUP(A19,Datas!A:B,2,FALSE)</f>
        <v>46142</v>
      </c>
    </row>
    <row r="20">
      <c r="A20" s="7" t="s">
        <v>49</v>
      </c>
      <c r="B20" s="8">
        <f>COUNTIF('Respostas ao formulário 1'!$H$2:$H$207,A20)</f>
        <v>2</v>
      </c>
      <c r="C20" s="8">
        <f>COUNTIFS('Respostas ao formulário 1'!$H$2:$H$182,$A20,'Respostas ao formulário 1'!$I$2:$I$182,C$1)</f>
        <v>0</v>
      </c>
      <c r="D20" s="8">
        <f>COUNTIFS('Respostas ao formulário 1'!$H$2:$H$182,$A20,'Respostas ao formulário 1'!$I$2:$I$182,D$1)</f>
        <v>2</v>
      </c>
      <c r="E20" s="12">
        <f>VLOOKUP(A20,Datas!A:B,2,FALSE)</f>
        <v>46142</v>
      </c>
    </row>
    <row r="21">
      <c r="A21" s="7" t="s">
        <v>50</v>
      </c>
      <c r="B21" s="8">
        <f>COUNTIF('Respostas ao formulário 1'!$H$2:$H$207,A21)</f>
        <v>2</v>
      </c>
      <c r="C21" s="8">
        <f>COUNTIFS('Respostas ao formulário 1'!$H$2:$H$182,$A21,'Respostas ao formulário 1'!$I$2:$I$182,C$1)</f>
        <v>0</v>
      </c>
      <c r="D21" s="8">
        <f>COUNTIFS('Respostas ao formulário 1'!$H$2:$H$182,$A21,'Respostas ao formulário 1'!$I$2:$I$182,D$1)</f>
        <v>2</v>
      </c>
      <c r="E21" s="12">
        <f>VLOOKUP(A21,Datas!A:B,2,FALSE)</f>
        <v>46142</v>
      </c>
    </row>
    <row r="22">
      <c r="A22" s="7" t="s">
        <v>51</v>
      </c>
      <c r="B22" s="8">
        <f>COUNTIF('Respostas ao formulário 1'!$H$2:$H$207,A22)</f>
        <v>1</v>
      </c>
      <c r="C22" s="8">
        <f>COUNTIFS('Respostas ao formulário 1'!$H$2:$H$182,$A22,'Respostas ao formulário 1'!$I$2:$I$182,C$1)</f>
        <v>0</v>
      </c>
      <c r="D22" s="8">
        <f>COUNTIFS('Respostas ao formulário 1'!$H$2:$H$182,$A22,'Respostas ao formulário 1'!$I$2:$I$182,D$1)</f>
        <v>1</v>
      </c>
      <c r="E22" s="12">
        <f>VLOOKUP(A22,Datas!A:B,2,FALSE)</f>
        <v>46142</v>
      </c>
    </row>
    <row r="23">
      <c r="A23" s="7" t="s">
        <v>53</v>
      </c>
      <c r="B23" s="8">
        <f>COUNTIF('Respostas ao formulário 1'!$H$2:$H$207,A23)</f>
        <v>1</v>
      </c>
      <c r="C23" s="8">
        <f>COUNTIFS('Respostas ao formulário 1'!$H$2:$H$182,$A23,'Respostas ao formulário 1'!$I$2:$I$182,C$1)</f>
        <v>0</v>
      </c>
      <c r="D23" s="8">
        <f>COUNTIFS('Respostas ao formulário 1'!$H$2:$H$182,$A23,'Respostas ao formulário 1'!$I$2:$I$182,D$1)</f>
        <v>1</v>
      </c>
      <c r="E23" s="12">
        <f>VLOOKUP(A23,Datas!A:B,2,FALSE)</f>
        <v>46142</v>
      </c>
    </row>
    <row r="24">
      <c r="A24" s="7" t="s">
        <v>54</v>
      </c>
      <c r="B24" s="8">
        <f>COUNTIF('Respostas ao formulário 1'!$H$2:$H$207,A24)</f>
        <v>2</v>
      </c>
      <c r="C24" s="8">
        <f>COUNTIFS('Respostas ao formulário 1'!$H$2:$H$182,$A24,'Respostas ao formulário 1'!$I$2:$I$182,C$1)</f>
        <v>1</v>
      </c>
      <c r="D24" s="8">
        <f>COUNTIFS('Respostas ao formulário 1'!$H$2:$H$182,$A24,'Respostas ao formulário 1'!$I$2:$I$182,D$1)</f>
        <v>1</v>
      </c>
      <c r="E24" s="12">
        <f>VLOOKUP(A24,Datas!A:B,2,FALSE)</f>
        <v>46142</v>
      </c>
    </row>
    <row r="25">
      <c r="A25" s="7" t="s">
        <v>55</v>
      </c>
      <c r="B25" s="8">
        <f>COUNTIF('Respostas ao formulário 1'!$H$2:$H$207,A25)</f>
        <v>0</v>
      </c>
      <c r="C25" s="8">
        <f>COUNTIFS('Respostas ao formulário 1'!$H$2:$H$182,$A25,'Respostas ao formulário 1'!$I$2:$I$182,C$1)</f>
        <v>0</v>
      </c>
      <c r="D25" s="8">
        <f>COUNTIFS('Respostas ao formulário 1'!$H$2:$H$182,$A25,'Respostas ao formulário 1'!$I$2:$I$182,D$1)</f>
        <v>0</v>
      </c>
      <c r="E25" s="12">
        <f>VLOOKUP(A25,Datas!A:B,2,FALSE)</f>
        <v>46142</v>
      </c>
    </row>
    <row r="26">
      <c r="A26" s="7" t="s">
        <v>56</v>
      </c>
      <c r="B26" s="8">
        <f>COUNTIF('Respostas ao formulário 1'!$H$2:$H$207,A26)</f>
        <v>2</v>
      </c>
      <c r="C26" s="8">
        <f>COUNTIFS('Respostas ao formulário 1'!$H$2:$H$182,$A26,'Respostas ao formulário 1'!$I$2:$I$182,C$1)</f>
        <v>1</v>
      </c>
      <c r="D26" s="8">
        <f>COUNTIFS('Respostas ao formulário 1'!$H$2:$H$182,$A26,'Respostas ao formulário 1'!$I$2:$I$182,D$1)</f>
        <v>1</v>
      </c>
      <c r="E26" s="12">
        <f>VLOOKUP(A26,Datas!A:B,2,FALSE)</f>
        <v>46142</v>
      </c>
    </row>
    <row r="27">
      <c r="A27" s="7" t="s">
        <v>58</v>
      </c>
      <c r="B27" s="8">
        <f>COUNTIF('Respostas ao formulário 1'!$H$2:$H$207,A27)</f>
        <v>2</v>
      </c>
      <c r="C27" s="8">
        <f>COUNTIFS('Respostas ao formulário 1'!$H$2:$H$182,$A27,'Respostas ao formulário 1'!$I$2:$I$182,C$1)</f>
        <v>1</v>
      </c>
      <c r="D27" s="8">
        <f>COUNTIFS('Respostas ao formulário 1'!$H$2:$H$182,$A27,'Respostas ao formulário 1'!$I$2:$I$182,D$1)</f>
        <v>1</v>
      </c>
      <c r="E27" s="12">
        <f>VLOOKUP(A27,Datas!A:B,2,FALSE)</f>
        <v>46142</v>
      </c>
    </row>
    <row r="28">
      <c r="A28" s="7" t="s">
        <v>3</v>
      </c>
      <c r="B28" s="8">
        <f>COUNTIF('Respostas ao formulário 1'!$H$2:$H$207,A28)</f>
        <v>4</v>
      </c>
      <c r="C28" s="8">
        <f>COUNTIFS('Respostas ao formulário 1'!$H$2:$H$182,$A28,'Respostas ao formulário 1'!$I$2:$I$182,C$1)</f>
        <v>1</v>
      </c>
      <c r="D28" s="8">
        <f>COUNTIFS('Respostas ao formulário 1'!$H$2:$H$182,$A28,'Respostas ao formulário 1'!$I$2:$I$182,D$1)</f>
        <v>3</v>
      </c>
      <c r="E28" s="12">
        <f>VLOOKUP(A28,Datas!A:B,2,FALSE)</f>
        <v>46141</v>
      </c>
    </row>
    <row r="29">
      <c r="A29" s="7" t="s">
        <v>4</v>
      </c>
      <c r="B29" s="8">
        <f>COUNTIF('Respostas ao formulário 1'!$H$2:$H$207,A29)</f>
        <v>4</v>
      </c>
      <c r="C29" s="8">
        <f>COUNTIFS('Respostas ao formulário 1'!$H$2:$H$182,$A29,'Respostas ao formulário 1'!$I$2:$I$182,C$1)</f>
        <v>1</v>
      </c>
      <c r="D29" s="8">
        <f>COUNTIFS('Respostas ao formulário 1'!$H$2:$H$182,$A29,'Respostas ao formulário 1'!$I$2:$I$182,D$1)</f>
        <v>3</v>
      </c>
      <c r="E29" s="12">
        <f>VLOOKUP(A29,Datas!A:B,2,FALSE)</f>
        <v>46141</v>
      </c>
    </row>
    <row r="30">
      <c r="A30" s="7" t="s">
        <v>5</v>
      </c>
      <c r="B30" s="8">
        <f>COUNTIF('Respostas ao formulário 1'!$H$2:$H$207,A30)</f>
        <v>2</v>
      </c>
      <c r="C30" s="8">
        <f>COUNTIFS('Respostas ao formulário 1'!$H$2:$H$182,$A30,'Respostas ao formulário 1'!$I$2:$I$182,C$1)</f>
        <v>1</v>
      </c>
      <c r="D30" s="8">
        <f>COUNTIFS('Respostas ao formulário 1'!$H$2:$H$182,$A30,'Respostas ao formulário 1'!$I$2:$I$182,D$1)</f>
        <v>1</v>
      </c>
      <c r="E30" s="12">
        <f>VLOOKUP(A30,Datas!A:B,2,FALSE)</f>
        <v>46141</v>
      </c>
    </row>
    <row r="31">
      <c r="A31" s="7" t="s">
        <v>6</v>
      </c>
      <c r="B31" s="8">
        <f>COUNTIF('Respostas ao formulário 1'!$H$2:$H$207,A31)</f>
        <v>3</v>
      </c>
      <c r="C31" s="8">
        <f>COUNTIFS('Respostas ao formulário 1'!$H$2:$H$182,$A31,'Respostas ao formulário 1'!$I$2:$I$182,C$1)</f>
        <v>0</v>
      </c>
      <c r="D31" s="8">
        <f>COUNTIFS('Respostas ao formulário 1'!$H$2:$H$182,$A31,'Respostas ao formulário 1'!$I$2:$I$182,D$1)</f>
        <v>3</v>
      </c>
      <c r="E31" s="12">
        <f>VLOOKUP(A31,Datas!A:B,2,FALSE)</f>
        <v>46141</v>
      </c>
    </row>
    <row r="32">
      <c r="A32" s="7" t="s">
        <v>7</v>
      </c>
      <c r="B32" s="8">
        <f>COUNTIF('Respostas ao formulário 1'!$H$2:$H$207,A32)</f>
        <v>4</v>
      </c>
      <c r="C32" s="8">
        <f>COUNTIFS('Respostas ao formulário 1'!$H$2:$H$182,$A32,'Respostas ao formulário 1'!$I$2:$I$182,C$1)</f>
        <v>0</v>
      </c>
      <c r="D32" s="8">
        <f>COUNTIFS('Respostas ao formulário 1'!$H$2:$H$182,$A32,'Respostas ao formulário 1'!$I$2:$I$182,D$1)</f>
        <v>4</v>
      </c>
      <c r="E32" s="12">
        <f>VLOOKUP(A32,Datas!A:B,2,FALSE)</f>
        <v>46141</v>
      </c>
    </row>
    <row r="33">
      <c r="A33" s="7" t="s">
        <v>8</v>
      </c>
      <c r="B33" s="8">
        <f>COUNTIF('Respostas ao formulário 1'!$H$2:$H$207,A33)</f>
        <v>2</v>
      </c>
      <c r="C33" s="8">
        <f>COUNTIFS('Respostas ao formulário 1'!$H$2:$H$182,$A33,'Respostas ao formulário 1'!$I$2:$I$182,C$1)</f>
        <v>1</v>
      </c>
      <c r="D33" s="8">
        <f>COUNTIFS('Respostas ao formulário 1'!$H$2:$H$182,$A33,'Respostas ao formulário 1'!$I$2:$I$182,D$1)</f>
        <v>1</v>
      </c>
      <c r="E33" s="12">
        <f>VLOOKUP(A33,Datas!A:B,2,FALSE)</f>
        <v>46141</v>
      </c>
    </row>
    <row r="34">
      <c r="A34" s="7" t="s">
        <v>9</v>
      </c>
      <c r="B34" s="8">
        <f>COUNTIF('Respostas ao formulário 1'!$H$2:$H$207,A34)</f>
        <v>0</v>
      </c>
      <c r="C34" s="8">
        <f>COUNTIFS('Respostas ao formulário 1'!$H$2:$H$182,$A34,'Respostas ao formulário 1'!$I$2:$I$182,C$1)</f>
        <v>0</v>
      </c>
      <c r="D34" s="8">
        <f>COUNTIFS('Respostas ao formulário 1'!$H$2:$H$182,$A34,'Respostas ao formulário 1'!$I$2:$I$182,D$1)</f>
        <v>0</v>
      </c>
      <c r="E34" s="12">
        <f>VLOOKUP(A34,Datas!A:B,2,FALSE)</f>
        <v>46141</v>
      </c>
    </row>
    <row r="35">
      <c r="A35" s="7" t="s">
        <v>10</v>
      </c>
      <c r="B35" s="8">
        <f>COUNTIF('Respostas ao formulário 1'!$H$2:$H$207,A35)</f>
        <v>5</v>
      </c>
      <c r="C35" s="8">
        <f>COUNTIFS('Respostas ao formulário 1'!$H$2:$H$182,$A35,'Respostas ao formulário 1'!$I$2:$I$182,C$1)</f>
        <v>1</v>
      </c>
      <c r="D35" s="8">
        <f>COUNTIFS('Respostas ao formulário 1'!$H$2:$H$182,$A35,'Respostas ao formulário 1'!$I$2:$I$182,D$1)</f>
        <v>4</v>
      </c>
      <c r="E35" s="12">
        <f>VLOOKUP(A35,Datas!A:B,2,FALSE)</f>
        <v>46141</v>
      </c>
    </row>
    <row r="36">
      <c r="A36" s="7" t="s">
        <v>11</v>
      </c>
      <c r="B36" s="8">
        <f>COUNTIF('Respostas ao formulário 1'!$H$2:$H$207,A36)</f>
        <v>0</v>
      </c>
      <c r="C36" s="8">
        <f>COUNTIFS('Respostas ao formulário 1'!$H$2:$H$182,$A36,'Respostas ao formulário 1'!$I$2:$I$182,C$1)</f>
        <v>0</v>
      </c>
      <c r="D36" s="8">
        <f>COUNTIFS('Respostas ao formulário 1'!$H$2:$H$182,$A36,'Respostas ao formulário 1'!$I$2:$I$182,D$1)</f>
        <v>0</v>
      </c>
      <c r="E36" s="12">
        <f>VLOOKUP(A36,Datas!A:B,2,FALSE)</f>
        <v>46141</v>
      </c>
    </row>
    <row r="37">
      <c r="A37" s="7" t="s">
        <v>12</v>
      </c>
      <c r="B37" s="8">
        <f>COUNTIF('Respostas ao formulário 1'!$H$2:$H$207,A37)</f>
        <v>4</v>
      </c>
      <c r="C37" s="8">
        <f>COUNTIFS('Respostas ao formulário 1'!$H$2:$H$182,$A37,'Respostas ao formulário 1'!$I$2:$I$182,C$1)</f>
        <v>2</v>
      </c>
      <c r="D37" s="8">
        <f>COUNTIFS('Respostas ao formulário 1'!$H$2:$H$182,$A37,'Respostas ao formulário 1'!$I$2:$I$182,D$1)</f>
        <v>2</v>
      </c>
      <c r="E37" s="12">
        <f>VLOOKUP(A37,Datas!A:B,2,FALSE)</f>
        <v>46141</v>
      </c>
    </row>
    <row r="38">
      <c r="A38" s="7" t="s">
        <v>14</v>
      </c>
      <c r="B38" s="8">
        <f>COUNTIF('Respostas ao formulário 1'!$H$2:$H$207,A38)</f>
        <v>0</v>
      </c>
      <c r="C38" s="8">
        <f>COUNTIFS('Respostas ao formulário 1'!$H$2:$H$182,$A38,'Respostas ao formulário 1'!$I$2:$I$182,C$1)</f>
        <v>0</v>
      </c>
      <c r="D38" s="8">
        <f>COUNTIFS('Respostas ao formulário 1'!$H$2:$H$182,$A38,'Respostas ao formulário 1'!$I$2:$I$182,D$1)</f>
        <v>0</v>
      </c>
      <c r="E38" s="12">
        <f>VLOOKUP(A38,Datas!A:B,2,FALSE)</f>
        <v>46141</v>
      </c>
    </row>
    <row r="39">
      <c r="A39" s="7" t="s">
        <v>15</v>
      </c>
      <c r="B39" s="8">
        <f>COUNTIF('Respostas ao formulário 1'!$H$2:$H$207,A39)</f>
        <v>2</v>
      </c>
      <c r="C39" s="8">
        <f>COUNTIFS('Respostas ao formulário 1'!$H$2:$H$182,$A39,'Respostas ao formulário 1'!$I$2:$I$182,C$1)</f>
        <v>0</v>
      </c>
      <c r="D39" s="8">
        <f>COUNTIFS('Respostas ao formulário 1'!$H$2:$H$182,$A39,'Respostas ao formulário 1'!$I$2:$I$182,D$1)</f>
        <v>2</v>
      </c>
      <c r="E39" s="12">
        <f>VLOOKUP(A39,Datas!A:B,2,FALSE)</f>
        <v>46141</v>
      </c>
    </row>
    <row r="40">
      <c r="A40" s="7" t="s">
        <v>17</v>
      </c>
      <c r="B40" s="8">
        <f>COUNTIF('Respostas ao formulário 1'!$H$2:$H$207,A40)</f>
        <v>2</v>
      </c>
      <c r="C40" s="8">
        <f>COUNTIFS('Respostas ao formulário 1'!$H$2:$H$182,$A40,'Respostas ao formulário 1'!$I$2:$I$182,C$1)</f>
        <v>0</v>
      </c>
      <c r="D40" s="8">
        <f>COUNTIFS('Respostas ao formulário 1'!$H$2:$H$182,$A40,'Respostas ao formulário 1'!$I$2:$I$182,D$1)</f>
        <v>2</v>
      </c>
      <c r="E40" s="12">
        <f>VLOOKUP(A40,Datas!A:B,2,FALSE)</f>
        <v>46141</v>
      </c>
    </row>
    <row r="41">
      <c r="A41" s="7" t="s">
        <v>19</v>
      </c>
      <c r="B41" s="8">
        <f>COUNTIF('Respostas ao formulário 1'!$H$2:$H$207,A41)</f>
        <v>0</v>
      </c>
      <c r="C41" s="8">
        <f>COUNTIFS('Respostas ao formulário 1'!$H$2:$H$182,$A41,'Respostas ao formulário 1'!$I$2:$I$182,C$1)</f>
        <v>0</v>
      </c>
      <c r="D41" s="8">
        <f>COUNTIFS('Respostas ao formulário 1'!$H$2:$H$182,$A41,'Respostas ao formulário 1'!$I$2:$I$182,D$1)</f>
        <v>0</v>
      </c>
      <c r="E41" s="12">
        <f>VLOOKUP(A41,Datas!A:B,2,FALSE)</f>
        <v>46141</v>
      </c>
    </row>
    <row r="42">
      <c r="A42" s="7" t="s">
        <v>20</v>
      </c>
      <c r="B42" s="8">
        <f>COUNTIF('Respostas ao formulário 1'!$H$2:$H$207,A42)</f>
        <v>2</v>
      </c>
      <c r="C42" s="8">
        <f>COUNTIFS('Respostas ao formulário 1'!$H$2:$H$182,$A42,'Respostas ao formulário 1'!$I$2:$I$182,C$1)</f>
        <v>0</v>
      </c>
      <c r="D42" s="8">
        <f>COUNTIFS('Respostas ao formulário 1'!$H$2:$H$182,$A42,'Respostas ao formulário 1'!$I$2:$I$182,D$1)</f>
        <v>2</v>
      </c>
      <c r="E42" s="12">
        <f>VLOOKUP(A42,Datas!A:B,2,FALSE)</f>
        <v>46141</v>
      </c>
    </row>
    <row r="43">
      <c r="A43" s="7" t="s">
        <v>21</v>
      </c>
      <c r="B43" s="8">
        <f>COUNTIF('Respostas ao formulário 1'!$H$2:$H$207,A43)</f>
        <v>2</v>
      </c>
      <c r="C43" s="8">
        <f>COUNTIFS('Respostas ao formulário 1'!$H$2:$H$182,$A43,'Respostas ao formulário 1'!$I$2:$I$182,C$1)</f>
        <v>0</v>
      </c>
      <c r="D43" s="8">
        <f>COUNTIFS('Respostas ao formulário 1'!$H$2:$H$182,$A43,'Respostas ao formulário 1'!$I$2:$I$182,D$1)</f>
        <v>2</v>
      </c>
      <c r="E43" s="12">
        <f>VLOOKUP(A43,Datas!A:B,2,FALSE)</f>
        <v>46141</v>
      </c>
    </row>
    <row r="44">
      <c r="A44" s="7" t="s">
        <v>23</v>
      </c>
      <c r="B44" s="8">
        <f>COUNTIF('Respostas ao formulário 1'!$H$2:$H$207,A44)</f>
        <v>4</v>
      </c>
      <c r="C44" s="8">
        <f>COUNTIFS('Respostas ao formulário 1'!$H$2:$H$182,$A44,'Respostas ao formulário 1'!$I$2:$I$182,C$1)</f>
        <v>0</v>
      </c>
      <c r="D44" s="8">
        <f>COUNTIFS('Respostas ao formulário 1'!$H$2:$H$182,$A44,'Respostas ao formulário 1'!$I$2:$I$182,D$1)</f>
        <v>4</v>
      </c>
      <c r="E44" s="12">
        <f>VLOOKUP(A44,Datas!A:B,2,FALSE)</f>
        <v>46141</v>
      </c>
    </row>
    <row r="45">
      <c r="A45" s="7" t="s">
        <v>24</v>
      </c>
      <c r="B45" s="8">
        <f>COUNTIF('Respostas ao formulário 1'!$H$2:$H$207,A45)</f>
        <v>3</v>
      </c>
      <c r="C45" s="8">
        <f>COUNTIFS('Respostas ao formulário 1'!$H$2:$H$182,$A45,'Respostas ao formulário 1'!$I$2:$I$182,C$1)</f>
        <v>0</v>
      </c>
      <c r="D45" s="8">
        <f>COUNTIFS('Respostas ao formulário 1'!$H$2:$H$182,$A45,'Respostas ao formulário 1'!$I$2:$I$182,D$1)</f>
        <v>3</v>
      </c>
      <c r="E45" s="12">
        <f>VLOOKUP(A45,Datas!A:B,2,FALSE)</f>
        <v>46141</v>
      </c>
    </row>
    <row r="46">
      <c r="A46" s="7" t="s">
        <v>25</v>
      </c>
      <c r="B46" s="8">
        <f>COUNTIF('Respostas ao formulário 1'!$H$2:$H$207,A46)</f>
        <v>2</v>
      </c>
      <c r="C46" s="8">
        <f>COUNTIFS('Respostas ao formulário 1'!$H$2:$H$182,$A46,'Respostas ao formulário 1'!$I$2:$I$182,C$1)</f>
        <v>1</v>
      </c>
      <c r="D46" s="8">
        <f>COUNTIFS('Respostas ao formulário 1'!$H$2:$H$182,$A46,'Respostas ao formulário 1'!$I$2:$I$182,D$1)</f>
        <v>1</v>
      </c>
      <c r="E46" s="12">
        <f>VLOOKUP(A46,Datas!A:B,2,FALSE)</f>
        <v>46141</v>
      </c>
    </row>
    <row r="47">
      <c r="A47" s="7" t="s">
        <v>26</v>
      </c>
      <c r="B47" s="8">
        <f>COUNTIF('Respostas ao formulário 1'!$H$2:$H$207,A47)</f>
        <v>1</v>
      </c>
      <c r="C47" s="8">
        <f>COUNTIFS('Respostas ao formulário 1'!$H$2:$H$182,$A47,'Respostas ao formulário 1'!$I$2:$I$182,C$1)</f>
        <v>0</v>
      </c>
      <c r="D47" s="8">
        <f>COUNTIFS('Respostas ao formulário 1'!$H$2:$H$182,$A47,'Respostas ao formulário 1'!$I$2:$I$182,D$1)</f>
        <v>1</v>
      </c>
      <c r="E47" s="12">
        <f>VLOOKUP(A47,Datas!A:B,2,FALSE)</f>
        <v>46141</v>
      </c>
    </row>
    <row r="48">
      <c r="A48" s="7" t="s">
        <v>27</v>
      </c>
      <c r="B48" s="8">
        <f>COUNTIF('Respostas ao formulário 1'!$H$2:$H$207,A48)</f>
        <v>3</v>
      </c>
      <c r="C48" s="8">
        <f>COUNTIFS('Respostas ao formulário 1'!$H$2:$H$182,$A48,'Respostas ao formulário 1'!$I$2:$I$182,C$1)</f>
        <v>0</v>
      </c>
      <c r="D48" s="8">
        <f>COUNTIFS('Respostas ao formulário 1'!$H$2:$H$182,$A48,'Respostas ao formulário 1'!$I$2:$I$182,D$1)</f>
        <v>3</v>
      </c>
      <c r="E48" s="12">
        <f>VLOOKUP(A48,Datas!A:B,2,FALSE)</f>
        <v>46141</v>
      </c>
    </row>
    <row r="49">
      <c r="A49" s="7" t="s">
        <v>28</v>
      </c>
      <c r="B49" s="8">
        <f>COUNTIF('Respostas ao formulário 1'!$H$2:$H$207,A49)</f>
        <v>3</v>
      </c>
      <c r="C49" s="8">
        <f>COUNTIFS('Respostas ao formulário 1'!$H$2:$H$182,$A49,'Respostas ao formulário 1'!$I$2:$I$182,C$1)</f>
        <v>0</v>
      </c>
      <c r="D49" s="8">
        <f>COUNTIFS('Respostas ao formulário 1'!$H$2:$H$182,$A49,'Respostas ao formulário 1'!$I$2:$I$182,D$1)</f>
        <v>3</v>
      </c>
      <c r="E49" s="12">
        <f>VLOOKUP(A49,Datas!A:B,2,FALSE)</f>
        <v>46141</v>
      </c>
    </row>
    <row r="50">
      <c r="A50" s="7" t="s">
        <v>29</v>
      </c>
      <c r="B50" s="8">
        <f>COUNTIF('Respostas ao formulário 1'!$H$2:$H$207,A50)</f>
        <v>4</v>
      </c>
      <c r="C50" s="8">
        <f>COUNTIFS('Respostas ao formulário 1'!$H$2:$H$182,$A50,'Respostas ao formulário 1'!$I$2:$I$182,C$1)</f>
        <v>2</v>
      </c>
      <c r="D50" s="8">
        <f>COUNTIFS('Respostas ao formulário 1'!$H$2:$H$182,$A50,'Respostas ao formulário 1'!$I$2:$I$182,D$1)</f>
        <v>2</v>
      </c>
      <c r="E50" s="12">
        <f>VLOOKUP(A50,Datas!A:B,2,FALSE)</f>
        <v>46141</v>
      </c>
    </row>
    <row r="51">
      <c r="A51" s="7" t="s">
        <v>30</v>
      </c>
      <c r="B51" s="8">
        <f>COUNTIF('Respostas ao formulário 1'!$H$2:$H$207,A51)</f>
        <v>0</v>
      </c>
      <c r="C51" s="8">
        <f>COUNTIFS('Respostas ao formulário 1'!$H$2:$H$182,$A51,'Respostas ao formulário 1'!$I$2:$I$182,C$1)</f>
        <v>0</v>
      </c>
      <c r="D51" s="8">
        <f>COUNTIFS('Respostas ao formulário 1'!$H$2:$H$182,$A51,'Respostas ao formulário 1'!$I$2:$I$182,D$1)</f>
        <v>0</v>
      </c>
      <c r="E51" s="12">
        <f>VLOOKUP(A51,Datas!A:B,2,FALSE)</f>
        <v>46141</v>
      </c>
    </row>
    <row r="52">
      <c r="A52" s="7" t="s">
        <v>31</v>
      </c>
      <c r="B52" s="8">
        <f>COUNTIF('Respostas ao formulário 1'!$H$2:$H$207,A52)</f>
        <v>4</v>
      </c>
      <c r="C52" s="8">
        <f>COUNTIFS('Respostas ao formulário 1'!$H$2:$H$182,$A52,'Respostas ao formulário 1'!$I$2:$I$182,C$1)</f>
        <v>0</v>
      </c>
      <c r="D52" s="8">
        <f>COUNTIFS('Respostas ao formulário 1'!$H$2:$H$182,$A52,'Respostas ao formulário 1'!$I$2:$I$182,D$1)</f>
        <v>4</v>
      </c>
      <c r="E52" s="12">
        <f>VLOOKUP(A52,Datas!A:B,2,FALSE)</f>
        <v>46141</v>
      </c>
    </row>
    <row r="53">
      <c r="A53" s="21" t="s">
        <v>286</v>
      </c>
      <c r="B53" s="8">
        <f>COUNTIF('Respostas ao formulário 1'!$H$2:$H$207,A53)</f>
        <v>0</v>
      </c>
      <c r="C53" s="8">
        <f>COUNTIFS('Respostas ao formulário 1'!$H$2:$H$182,$A53,'Respostas ao formulário 1'!$I$2:$I$182,C$1)</f>
        <v>0</v>
      </c>
      <c r="D53" s="8">
        <f>COUNTIFS('Respostas ao formulário 1'!$H$2:$H$182,$A53,'Respostas ao formulário 1'!$I$2:$I$182,D$1)</f>
        <v>0</v>
      </c>
      <c r="E53" s="17" t="str">
        <f>VLOOKUP(A53,Datas!A:B,2,FALSE)</f>
        <v>#N/A</v>
      </c>
    </row>
    <row r="54">
      <c r="A54" s="21" t="s">
        <v>293</v>
      </c>
      <c r="B54" s="8">
        <f>COUNTIF('Respostas ao formulário 1'!$H$2:$H$207,A54)</f>
        <v>0</v>
      </c>
      <c r="C54" s="8">
        <f>COUNTIFS('Respostas ao formulário 1'!$H$2:$H$182,$A54,'Respostas ao formulário 1'!$I$2:$I$182,C$1)</f>
        <v>0</v>
      </c>
      <c r="D54" s="8">
        <f>COUNTIFS('Respostas ao formulário 1'!$H$2:$H$182,$A54,'Respostas ao formulário 1'!$I$2:$I$182,D$1)</f>
        <v>0</v>
      </c>
      <c r="E54" s="17" t="str">
        <f>VLOOKUP(A54,Datas!A:B,2,FALSE)</f>
        <v>#N/A</v>
      </c>
    </row>
    <row r="55">
      <c r="A55" s="22" t="s">
        <v>298</v>
      </c>
      <c r="B55" s="8">
        <f>COUNTIF('Respostas ao formulário 1'!$H$2:$H$207,A55)</f>
        <v>0</v>
      </c>
      <c r="C55" s="8">
        <f>COUNTIFS('Respostas ao formulário 1'!$H$2:$H$182,$A55,'Respostas ao formulário 1'!$I$2:$I$182,C$1)</f>
        <v>0</v>
      </c>
      <c r="D55" s="8">
        <f>COUNTIFS('Respostas ao formulário 1'!$H$2:$H$182,$A55,'Respostas ao formulário 1'!$I$2:$I$182,D$1)</f>
        <v>0</v>
      </c>
      <c r="E55" s="17" t="str">
        <f>VLOOKUP(A55,Datas!A:B,2,FALSE)</f>
        <v>#N/A</v>
      </c>
    </row>
    <row r="56">
      <c r="A56" s="22" t="s">
        <v>304</v>
      </c>
      <c r="B56" s="8">
        <f>COUNTIF('Respostas ao formulário 1'!$H$2:$H$207,A56)</f>
        <v>0</v>
      </c>
      <c r="C56" s="8">
        <f>COUNTIFS('Respostas ao formulário 1'!$H$2:$H$182,$A56,'Respostas ao formulário 1'!$I$2:$I$182,C$1)</f>
        <v>0</v>
      </c>
      <c r="D56" s="8">
        <f>COUNTIFS('Respostas ao formulário 1'!$H$2:$H$182,$A56,'Respostas ao formulário 1'!$I$2:$I$182,D$1)</f>
        <v>0</v>
      </c>
      <c r="E56" s="17" t="str">
        <f>VLOOKUP(A56,Datas!A:B,2,FALSE)</f>
        <v>#N/A</v>
      </c>
    </row>
    <row r="57">
      <c r="A57" s="22" t="s">
        <v>310</v>
      </c>
      <c r="B57" s="8">
        <f>COUNTIF('Respostas ao formulário 1'!$H$2:$H$207,A57)</f>
        <v>0</v>
      </c>
      <c r="C57" s="8">
        <f>COUNTIFS('Respostas ao formulário 1'!$H$2:$H$182,$A57,'Respostas ao formulário 1'!$I$2:$I$182,C$1)</f>
        <v>0</v>
      </c>
      <c r="D57" s="8">
        <f>COUNTIFS('Respostas ao formulário 1'!$H$2:$H$182,$A57,'Respostas ao formulário 1'!$I$2:$I$182,D$1)</f>
        <v>0</v>
      </c>
      <c r="E57" s="17" t="str">
        <f>VLOOKUP(A57,Datas!A:B,2,FALSE)</f>
        <v>#N/A</v>
      </c>
    </row>
    <row r="58">
      <c r="A58" s="23" t="s">
        <v>316</v>
      </c>
      <c r="B58" s="24">
        <f>SUM(B2:B57)</f>
        <v>109</v>
      </c>
      <c r="C58" s="24">
        <f>SUM(C5:C57)</f>
        <v>21</v>
      </c>
      <c r="D58" s="24">
        <f>SUM(D2:D57)</f>
        <v>88</v>
      </c>
      <c r="E58" s="24"/>
      <c r="F58" s="24">
        <f t="shared" ref="F58:G58" si="1">SUM(C28:C52)</f>
        <v>10</v>
      </c>
      <c r="G58" s="24">
        <f t="shared" si="1"/>
        <v>50</v>
      </c>
      <c r="H58" s="24">
        <f t="shared" ref="H58:I58" si="2">SUM(C2:C11,C13:C27)</f>
        <v>10</v>
      </c>
      <c r="I58" s="24">
        <f t="shared" si="2"/>
        <v>36</v>
      </c>
      <c r="J58" s="24">
        <f t="shared" ref="J58:K58" si="3">SUM(C12,C53:C57)</f>
        <v>1</v>
      </c>
      <c r="K58" s="24">
        <f t="shared" si="3"/>
        <v>2</v>
      </c>
    </row>
    <row r="59">
      <c r="A59" s="23" t="s">
        <v>325</v>
      </c>
      <c r="B59" s="17"/>
      <c r="C59" s="24">
        <f t="shared" ref="C59:D59" si="4">COUNTIF(C2:C57,"&gt;0")</f>
        <v>17</v>
      </c>
      <c r="D59" s="24">
        <f t="shared" si="4"/>
        <v>40</v>
      </c>
      <c r="E59" s="17"/>
      <c r="F59" s="17"/>
    </row>
    <row r="60">
      <c r="A60" s="5"/>
      <c r="B60" s="5" t="s">
        <v>13</v>
      </c>
      <c r="C60" s="5" t="s">
        <v>16</v>
      </c>
      <c r="D60" s="5" t="s">
        <v>18</v>
      </c>
      <c r="E60" s="6"/>
      <c r="F60" s="6" t="s">
        <v>329</v>
      </c>
      <c r="G60" s="6" t="s">
        <v>330</v>
      </c>
      <c r="H60" s="6" t="s">
        <v>331</v>
      </c>
      <c r="I60" s="6" t="s">
        <v>332</v>
      </c>
      <c r="J60" s="6" t="s">
        <v>333</v>
      </c>
      <c r="K60" s="6" t="s">
        <v>334</v>
      </c>
    </row>
    <row r="65">
      <c r="A65" s="1"/>
    </row>
  </sheetData>
  <conditionalFormatting sqref="C2:D57">
    <cfRule type="cellIs" dxfId="5" priority="1" operator="greaterThanOrEqual">
      <formula>2</formula>
    </cfRule>
  </conditionalFormatting>
  <conditionalFormatting sqref="C2:D57">
    <cfRule type="cellIs" dxfId="6" priority="2" operator="equal">
      <formula>0</formula>
    </cfRule>
  </conditionalFormatting>
  <conditionalFormatting sqref="C2:D57">
    <cfRule type="cellIs" dxfId="7" priority="3" operator="equal">
      <formula>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1">
      <c r="A1" s="1" t="s">
        <v>0</v>
      </c>
      <c r="B1" s="2" t="s">
        <v>2</v>
      </c>
    </row>
    <row r="2">
      <c r="A2" s="1" t="s">
        <v>3</v>
      </c>
      <c r="B2" s="4">
        <v>46141.0</v>
      </c>
    </row>
    <row r="3">
      <c r="A3" s="1" t="s">
        <v>4</v>
      </c>
      <c r="B3" s="4">
        <v>46141.0</v>
      </c>
    </row>
    <row r="4">
      <c r="A4" s="1" t="s">
        <v>5</v>
      </c>
      <c r="B4" s="4">
        <v>46141.0</v>
      </c>
    </row>
    <row r="5">
      <c r="A5" s="1" t="s">
        <v>6</v>
      </c>
      <c r="B5" s="4">
        <v>46141.0</v>
      </c>
    </row>
    <row r="6">
      <c r="A6" s="1" t="s">
        <v>7</v>
      </c>
      <c r="B6" s="4">
        <v>46141.0</v>
      </c>
    </row>
    <row r="7">
      <c r="A7" s="1" t="s">
        <v>8</v>
      </c>
      <c r="B7" s="4">
        <v>46141.0</v>
      </c>
    </row>
    <row r="8">
      <c r="A8" s="1" t="s">
        <v>9</v>
      </c>
      <c r="B8" s="4">
        <v>46141.0</v>
      </c>
    </row>
    <row r="9">
      <c r="A9" s="1" t="s">
        <v>10</v>
      </c>
      <c r="B9" s="4">
        <v>46141.0</v>
      </c>
    </row>
    <row r="10">
      <c r="A10" s="1" t="s">
        <v>11</v>
      </c>
      <c r="B10" s="4">
        <v>46141.0</v>
      </c>
    </row>
    <row r="11">
      <c r="A11" s="1" t="s">
        <v>12</v>
      </c>
      <c r="B11" s="4">
        <v>46141.0</v>
      </c>
    </row>
    <row r="12">
      <c r="A12" s="1" t="s">
        <v>14</v>
      </c>
      <c r="B12" s="4">
        <v>46141.0</v>
      </c>
    </row>
    <row r="13">
      <c r="A13" s="1" t="s">
        <v>15</v>
      </c>
      <c r="B13" s="4">
        <v>46141.0</v>
      </c>
    </row>
    <row r="14">
      <c r="A14" s="1" t="s">
        <v>17</v>
      </c>
      <c r="B14" s="4">
        <v>46141.0</v>
      </c>
    </row>
    <row r="15">
      <c r="A15" s="1" t="s">
        <v>19</v>
      </c>
      <c r="B15" s="4">
        <v>46141.0</v>
      </c>
    </row>
    <row r="16">
      <c r="A16" s="1" t="s">
        <v>20</v>
      </c>
      <c r="B16" s="4">
        <v>46141.0</v>
      </c>
    </row>
    <row r="17">
      <c r="A17" s="1" t="s">
        <v>21</v>
      </c>
      <c r="B17" s="4">
        <v>46141.0</v>
      </c>
    </row>
    <row r="18">
      <c r="A18" s="1" t="s">
        <v>23</v>
      </c>
      <c r="B18" s="4">
        <v>46141.0</v>
      </c>
    </row>
    <row r="19">
      <c r="A19" s="1" t="s">
        <v>24</v>
      </c>
      <c r="B19" s="4">
        <v>46141.0</v>
      </c>
    </row>
    <row r="20">
      <c r="A20" s="1" t="s">
        <v>25</v>
      </c>
      <c r="B20" s="4">
        <v>46141.0</v>
      </c>
    </row>
    <row r="21">
      <c r="A21" s="1" t="s">
        <v>26</v>
      </c>
      <c r="B21" s="4">
        <v>46141.0</v>
      </c>
    </row>
    <row r="22">
      <c r="A22" s="1" t="s">
        <v>27</v>
      </c>
      <c r="B22" s="4">
        <v>46141.0</v>
      </c>
    </row>
    <row r="23">
      <c r="A23" s="1" t="s">
        <v>28</v>
      </c>
      <c r="B23" s="4">
        <v>46141.0</v>
      </c>
    </row>
    <row r="24">
      <c r="A24" s="1" t="s">
        <v>29</v>
      </c>
      <c r="B24" s="4">
        <v>46141.0</v>
      </c>
    </row>
    <row r="25">
      <c r="A25" s="1" t="s">
        <v>30</v>
      </c>
      <c r="B25" s="4">
        <v>46141.0</v>
      </c>
    </row>
    <row r="26">
      <c r="A26" s="1" t="s">
        <v>31</v>
      </c>
      <c r="B26" s="4">
        <v>46141.0</v>
      </c>
    </row>
    <row r="27">
      <c r="A27" s="1" t="s">
        <v>22</v>
      </c>
      <c r="B27" s="4">
        <v>46142.0</v>
      </c>
    </row>
    <row r="28">
      <c r="A28" s="1" t="s">
        <v>32</v>
      </c>
      <c r="B28" s="4">
        <v>46142.0</v>
      </c>
    </row>
    <row r="29">
      <c r="A29" s="1" t="s">
        <v>33</v>
      </c>
      <c r="B29" s="4">
        <v>46142.0</v>
      </c>
    </row>
    <row r="30">
      <c r="A30" s="1" t="s">
        <v>34</v>
      </c>
      <c r="B30" s="4">
        <v>46142.0</v>
      </c>
    </row>
    <row r="31">
      <c r="A31" s="1" t="s">
        <v>35</v>
      </c>
      <c r="B31" s="4">
        <v>46142.0</v>
      </c>
    </row>
    <row r="32">
      <c r="A32" s="1" t="s">
        <v>36</v>
      </c>
      <c r="B32" s="4">
        <v>46142.0</v>
      </c>
    </row>
    <row r="33">
      <c r="A33" s="1" t="s">
        <v>37</v>
      </c>
      <c r="B33" s="4">
        <v>46142.0</v>
      </c>
    </row>
    <row r="34">
      <c r="A34" s="1" t="s">
        <v>38</v>
      </c>
      <c r="B34" s="4">
        <v>46142.0</v>
      </c>
    </row>
    <row r="35">
      <c r="A35" s="1" t="s">
        <v>39</v>
      </c>
      <c r="B35" s="4">
        <v>46142.0</v>
      </c>
    </row>
    <row r="36">
      <c r="A36" s="1" t="s">
        <v>40</v>
      </c>
      <c r="B36" s="4">
        <v>46142.0</v>
      </c>
    </row>
    <row r="37">
      <c r="A37" s="1" t="s">
        <v>42</v>
      </c>
      <c r="B37" s="4">
        <v>46142.0</v>
      </c>
    </row>
    <row r="38">
      <c r="A38" s="1" t="s">
        <v>43</v>
      </c>
      <c r="B38" s="4">
        <v>46142.0</v>
      </c>
    </row>
    <row r="39">
      <c r="A39" s="1" t="s">
        <v>44</v>
      </c>
      <c r="B39" s="4">
        <v>46142.0</v>
      </c>
    </row>
    <row r="40">
      <c r="A40" s="1" t="s">
        <v>45</v>
      </c>
      <c r="B40" s="4">
        <v>46142.0</v>
      </c>
    </row>
    <row r="41">
      <c r="A41" s="1" t="s">
        <v>46</v>
      </c>
      <c r="B41" s="4">
        <v>46142.0</v>
      </c>
    </row>
    <row r="42">
      <c r="A42" s="1" t="s">
        <v>47</v>
      </c>
      <c r="B42" s="4">
        <v>46142.0</v>
      </c>
    </row>
    <row r="43">
      <c r="A43" s="1" t="s">
        <v>48</v>
      </c>
      <c r="B43" s="4">
        <v>46142.0</v>
      </c>
    </row>
    <row r="44">
      <c r="A44" s="1" t="s">
        <v>49</v>
      </c>
      <c r="B44" s="4">
        <v>46142.0</v>
      </c>
    </row>
    <row r="45">
      <c r="A45" s="1" t="s">
        <v>50</v>
      </c>
      <c r="B45" s="4">
        <v>46142.0</v>
      </c>
    </row>
    <row r="46">
      <c r="A46" s="1" t="s">
        <v>51</v>
      </c>
      <c r="B46" s="4">
        <v>46142.0</v>
      </c>
    </row>
    <row r="47">
      <c r="A47" s="1" t="s">
        <v>53</v>
      </c>
      <c r="B47" s="4">
        <v>46142.0</v>
      </c>
    </row>
    <row r="48">
      <c r="A48" s="1" t="s">
        <v>54</v>
      </c>
      <c r="B48" s="4">
        <v>46142.0</v>
      </c>
    </row>
    <row r="49">
      <c r="A49" s="1" t="s">
        <v>55</v>
      </c>
      <c r="B49" s="4">
        <v>46142.0</v>
      </c>
    </row>
    <row r="50">
      <c r="A50" s="1" t="s">
        <v>56</v>
      </c>
      <c r="B50" s="4">
        <v>46142.0</v>
      </c>
    </row>
    <row r="51">
      <c r="A51" s="1" t="s">
        <v>58</v>
      </c>
      <c r="B51" s="4">
        <v>46142.0</v>
      </c>
    </row>
  </sheetData>
  <drawing r:id="rId1"/>
</worksheet>
</file>