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>
    <definedName hidden="1" localSheetId="0" name="_xlnm._FilterDatabase">'Respostas ao formulário 1'!$A$1:$M$25</definedName>
  </definedNames>
  <calcPr/>
</workbook>
</file>

<file path=xl/sharedStrings.xml><?xml version="1.0" encoding="utf-8"?>
<sst xmlns="http://schemas.openxmlformats.org/spreadsheetml/2006/main" count="534" uniqueCount="268">
  <si>
    <t>Carimbo de data/hora</t>
  </si>
  <si>
    <t>CPF</t>
  </si>
  <si>
    <t>Endereço de e-mail</t>
  </si>
  <si>
    <t>Nome Completo:</t>
  </si>
  <si>
    <t>Confirme o E-mail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</si>
  <si>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</si>
  <si>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</si>
  <si>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</si>
  <si>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</si>
  <si>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</si>
  <si>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</si>
  <si>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</si>
  <si>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</si>
  <si>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028.495.521-35</t>
  </si>
  <si>
    <t>josidaluz201@gmail.com</t>
  </si>
  <si>
    <t>Josimeire da luz</t>
  </si>
  <si>
    <t>(66)98421-2529</t>
  </si>
  <si>
    <t>ALTA FLORESTA</t>
  </si>
  <si>
    <t>Gestão municipal</t>
  </si>
  <si>
    <t>Técnico Administrativo Educacional</t>
  </si>
  <si>
    <t>Declaro que revisei e confirmo a veracidade de todas as informações prestadas neste formulário.</t>
  </si>
  <si>
    <t>011.149.971-29</t>
  </si>
  <si>
    <t>valdineimakohi1984@gmail.com</t>
  </si>
  <si>
    <t>Valdinei Makohin do Nascimento</t>
  </si>
  <si>
    <t>(66)99919-6873</t>
  </si>
  <si>
    <t>PARANAÍTA</t>
  </si>
  <si>
    <t>Motorista escolar, e gestor veículo escolar</t>
  </si>
  <si>
    <t>Transporte escolar sistematizado e organizado</t>
  </si>
  <si>
    <t>794.483.211-04</t>
  </si>
  <si>
    <t>elisandrosilva12@hotmail.com</t>
  </si>
  <si>
    <t>Elisandro da Silva</t>
  </si>
  <si>
    <t>(66)98457-2467</t>
  </si>
  <si>
    <t>CARLINDA</t>
  </si>
  <si>
    <t>CACS-FUNDEB</t>
  </si>
  <si>
    <t>Presidente</t>
  </si>
  <si>
    <t>040.738.891-50</t>
  </si>
  <si>
    <t>irineusantana814@gmail.com</t>
  </si>
  <si>
    <t>IRINEU SANTANA RAUSCHKOLB</t>
  </si>
  <si>
    <t>(66)99939-9893</t>
  </si>
  <si>
    <t>APIACÁS</t>
  </si>
  <si>
    <t>TECNICO ADMINISTRATIVO E FINANCEIRO</t>
  </si>
  <si>
    <t>650.632.441-49</t>
  </si>
  <si>
    <t>secretaria@novacanaadonorte.mt.gov.br</t>
  </si>
  <si>
    <t>Genize Luna de Carvalho</t>
  </si>
  <si>
    <t>(66)99995-7128</t>
  </si>
  <si>
    <t>NOVA CANAÃ DO NORTE</t>
  </si>
  <si>
    <t>Coordenador de Transporte Escolar</t>
  </si>
  <si>
    <t xml:space="preserve">Pela primeira vez, foi editado no município a Resolução com normas para o uso e disponibilidade do Transporte Escolar, pois até o ano de 2025, seguiamos regras e normas federais e estadual. RESOLUÇÃO Nº001/2026/CME/NCN
Regulamenta as normas e procedimentos para gerenciamento e controle do Transporte Escolar em atendimento aos estudantes devidamente matriculados nas escolas da rede pública de ensino do Município de Nova Canaã do Norte-MT
https://drive.google.com/file/d/1hzQz0YCXjcTmaDJR9XEqc5BdF7UStnaK/view?usp=sharing </t>
  </si>
  <si>
    <t>090.833.181-92</t>
  </si>
  <si>
    <t>luanasenaaraujjo@gmail.com</t>
  </si>
  <si>
    <t>LUANA DE SENA DE ARAÚJO</t>
  </si>
  <si>
    <t>(66)98412-4076</t>
  </si>
  <si>
    <t>VICE - PRESIDENTE</t>
  </si>
  <si>
    <t>176.154.818-21</t>
  </si>
  <si>
    <t>zeapiacas@hotmail.com</t>
  </si>
  <si>
    <t>JOSÉ ROBERTO PEREIRA DA SILVA</t>
  </si>
  <si>
    <t>(66)98422-9843</t>
  </si>
  <si>
    <t>SECRETÁRIO MUNICIPAL DE EDUCAÇÃO</t>
  </si>
  <si>
    <t>998.947.421-49</t>
  </si>
  <si>
    <t>elaine.souza@carlinda.edu.mt.gov.br</t>
  </si>
  <si>
    <t>Elaine Batista Costa de Souza</t>
  </si>
  <si>
    <t>(66)98404-0221</t>
  </si>
  <si>
    <t>Secretária Municipal de Educação</t>
  </si>
  <si>
    <t>Utilizamos o Transcolar Rural, tem nos ajudado a mapear rotas, sendo este uma exigência do governo do estado.</t>
  </si>
  <si>
    <t>731.237.221-04</t>
  </si>
  <si>
    <t>daianemariana@gmail.com</t>
  </si>
  <si>
    <t>Daiane Mariana da Silva Benfica</t>
  </si>
  <si>
    <t>(66)98428-8628</t>
  </si>
  <si>
    <t>Coordenadora Administrativa</t>
  </si>
  <si>
    <t>020.147.301-13</t>
  </si>
  <si>
    <t>altamiromizuc@gmail.com</t>
  </si>
  <si>
    <t>Altamiro Corrêa Leite Junior</t>
  </si>
  <si>
    <t>(66)98432-1656</t>
  </si>
  <si>
    <t>SANTA CRUZ DO XINGU</t>
  </si>
  <si>
    <t>Secretario Municipal de Educação</t>
  </si>
  <si>
    <t>apoio com a DRE regional nos municipios, incentivo ao transporte.</t>
  </si>
  <si>
    <t>011.797.911-26</t>
  </si>
  <si>
    <t>bianorodrigues85@gmail.com</t>
  </si>
  <si>
    <t>Fabiano Jose Rodrigues</t>
  </si>
  <si>
    <t>(66)98408-1719</t>
  </si>
  <si>
    <t>Supervivão e controle de Frotas Municipal da Educação</t>
  </si>
  <si>
    <t>980.192.281-87</t>
  </si>
  <si>
    <t>ildooliveiradasilva814@gmail.com</t>
  </si>
  <si>
    <t>Ildo Oliveira da Silva</t>
  </si>
  <si>
    <t>(66)99915-6672</t>
  </si>
  <si>
    <t>diretor escolar</t>
  </si>
  <si>
    <t>015.753.371-93</t>
  </si>
  <si>
    <t>alicebrito88@hotmail.com</t>
  </si>
  <si>
    <t>Alice Maria Santos Brito</t>
  </si>
  <si>
    <t>(66)99669-8224</t>
  </si>
  <si>
    <t>Representante pais</t>
  </si>
  <si>
    <t>688.369.021-20</t>
  </si>
  <si>
    <t>maria.cavichia@novacanaadonorte.edu.mt.gov.br</t>
  </si>
  <si>
    <t>MARIA HELENA CAVICHIA</t>
  </si>
  <si>
    <t>(66)99959-3564</t>
  </si>
  <si>
    <t>PRESIDENTE</t>
  </si>
  <si>
    <t>970.283.631-04</t>
  </si>
  <si>
    <t>joselaine.sanches@edu.mt.gov.br</t>
  </si>
  <si>
    <t>Joselaine Bezerra Sanches</t>
  </si>
  <si>
    <t>Joselaine.sanches@edu.mt.gov.br</t>
  </si>
  <si>
    <t>(66)99923-6024</t>
  </si>
  <si>
    <t>Presidente do transporte</t>
  </si>
  <si>
    <t>957.003.829-20</t>
  </si>
  <si>
    <t>rosildaeve@outlook.com</t>
  </si>
  <si>
    <t>ROSILDA RIBEIRO CHAGAS</t>
  </si>
  <si>
    <t>(66)99685-5867</t>
  </si>
  <si>
    <t>REPRESENTANTE TITULAR DO EXECUTIVO</t>
  </si>
  <si>
    <t>857.649.141-91</t>
  </si>
  <si>
    <t>andreoliveiralima@hotmail.com</t>
  </si>
  <si>
    <t>André Oliveira Lima</t>
  </si>
  <si>
    <t>(94)98413-5970</t>
  </si>
  <si>
    <t>830.654.741-15</t>
  </si>
  <si>
    <t>onolilian11@gmail.com</t>
  </si>
  <si>
    <t>Lilian Sayuri Ono</t>
  </si>
  <si>
    <t>(66)99283-0493</t>
  </si>
  <si>
    <t>Conselheira CACS -FUNDEB</t>
  </si>
  <si>
    <t>231.385.802-20</t>
  </si>
  <si>
    <t>rosangelacunhadasilva2@gmail.com</t>
  </si>
  <si>
    <t>Rosangela Cunha da Silva</t>
  </si>
  <si>
    <t>(66)99220-1350</t>
  </si>
  <si>
    <t>Conselheiro</t>
  </si>
  <si>
    <t>894.809.451-34</t>
  </si>
  <si>
    <t>conselhoaltafloresta@gmail.com</t>
  </si>
  <si>
    <t>JOUSE MARIA CONRADO</t>
  </si>
  <si>
    <t>(66)99204-5216</t>
  </si>
  <si>
    <t>CONSELHEIRA</t>
  </si>
  <si>
    <t>090.050.678-45</t>
  </si>
  <si>
    <t>marcelo.bruno@ifmt.edu.br</t>
  </si>
  <si>
    <t>Marcelo Alexandre Bruno</t>
  </si>
  <si>
    <t>(66)98427-2859</t>
  </si>
  <si>
    <t>Suplente educação superior</t>
  </si>
  <si>
    <t>848.226.941-00</t>
  </si>
  <si>
    <t>neu_caf@hotmail.com</t>
  </si>
  <si>
    <t>Neuzira Rosa de Brito</t>
  </si>
  <si>
    <t>(66)99242-3526</t>
  </si>
  <si>
    <t>Conselheira titular</t>
  </si>
  <si>
    <t>Consslheira</t>
  </si>
  <si>
    <t>009.976.891-70</t>
  </si>
  <si>
    <t>tiagobenficadeassis@gmail.com</t>
  </si>
  <si>
    <t>Tiago Benfica de Assis</t>
  </si>
  <si>
    <t>(66)98429-9272</t>
  </si>
  <si>
    <t>CONSELHEIRO DA CÂMARA DO FUNDEB - REPRESENTANTE DO EXECUTIVO</t>
  </si>
  <si>
    <t>991.302.971-68</t>
  </si>
  <si>
    <t>sasso.123@hotmail.com</t>
  </si>
  <si>
    <t>Rudnei Moraes Sasso</t>
  </si>
  <si>
    <t>(66)99630-1179</t>
  </si>
  <si>
    <t>Motorista Escola</t>
  </si>
  <si>
    <t>969.569.331-87</t>
  </si>
  <si>
    <t>roni_nx@hotmail.com</t>
  </si>
  <si>
    <t>Ronivaldo Marques Pinto</t>
  </si>
  <si>
    <t>(66)99955-0748</t>
  </si>
  <si>
    <t>Condutor de Veículo Escolar</t>
  </si>
  <si>
    <t>.</t>
  </si>
  <si>
    <t>032.294.371-01</t>
  </si>
  <si>
    <t>everson.wiechorek@novabandeirantes.edu.mt.gov.br</t>
  </si>
  <si>
    <t>Everson Wiechorek</t>
  </si>
  <si>
    <t>(66)98459-2161</t>
  </si>
  <si>
    <t>NOVA BANDEIRANTES</t>
  </si>
  <si>
    <t>Técnico do Transporte Escolar</t>
  </si>
  <si>
    <t>025.590.831-83</t>
  </si>
  <si>
    <t>elizeubaioco88@gmail.com</t>
  </si>
  <si>
    <t>Elizeu da Silva Baioco</t>
  </si>
  <si>
    <t>(66)98436-4794</t>
  </si>
  <si>
    <t>043.728.121-32</t>
  </si>
  <si>
    <t>erdileneonofre@outlook.com</t>
  </si>
  <si>
    <t>Erdilene Bueno Onofre</t>
  </si>
  <si>
    <t>(66)98419-2180</t>
  </si>
  <si>
    <t>Secretária</t>
  </si>
  <si>
    <t>018.772.109-27</t>
  </si>
  <si>
    <t>claumar_fiel@hotmail.com</t>
  </si>
  <si>
    <t>Claudia Sibeli Coelho Fiel</t>
  </si>
  <si>
    <t>(66)98409-2312</t>
  </si>
  <si>
    <t>Técnica municipal</t>
  </si>
  <si>
    <t>041.306.701-74</t>
  </si>
  <si>
    <t>rogerio@edu.novamonteverde.mt.gov.br</t>
  </si>
  <si>
    <t>ROGERIO BRITO DOS SANTOS</t>
  </si>
  <si>
    <t>(66)98467-9451</t>
  </si>
  <si>
    <t>NOVA MONTE VERDE</t>
  </si>
  <si>
    <t>TÉCNICO TRANSCOLAR</t>
  </si>
  <si>
    <t>897.709.781-91</t>
  </si>
  <si>
    <t>mari-feitosa@hotmail.com</t>
  </si>
  <si>
    <t>Mariangela Morgan Feitosa</t>
  </si>
  <si>
    <t>(66)98439-1840</t>
  </si>
  <si>
    <t>conselheiro</t>
  </si>
  <si>
    <t>058.230.421-08</t>
  </si>
  <si>
    <t>Talison1478@gmail.com</t>
  </si>
  <si>
    <t>Talison rafael de lima ouvernei</t>
  </si>
  <si>
    <t>(66)98416-0491</t>
  </si>
  <si>
    <t>Assessor Administrativo da Secretaria de Educação</t>
  </si>
  <si>
    <t>795.415.009-78</t>
  </si>
  <si>
    <t>cirenepinknmv@hotmail.com</t>
  </si>
  <si>
    <t>Cirene Aparecida da Rosa Mendes</t>
  </si>
  <si>
    <t>(66)98439-2918</t>
  </si>
  <si>
    <t>061.056.901-50</t>
  </si>
  <si>
    <t>jaquelineleal67@gmail.com</t>
  </si>
  <si>
    <t>Jaqueline Leal</t>
  </si>
  <si>
    <t>(66)99245-5001</t>
  </si>
  <si>
    <t>Assessora Pedagógica do CME</t>
  </si>
  <si>
    <t>772.752.841-20</t>
  </si>
  <si>
    <t>ferrodrigues@novacanaadonorte.edu.mt.gov.br</t>
  </si>
  <si>
    <t>Fernanda Rodrigues Maximo</t>
  </si>
  <si>
    <t>(66)99962-5625</t>
  </si>
  <si>
    <t>AA - Secretaria de Transporte Escolar</t>
  </si>
  <si>
    <t>Responsável por alimentar o Sistema Ômega/Operacional</t>
  </si>
  <si>
    <t>950.825.901-97</t>
  </si>
  <si>
    <t>Marco Antonio A. Faraco</t>
  </si>
  <si>
    <t>(66)99232-4866</t>
  </si>
  <si>
    <t>Assessoria Pedagógica</t>
  </si>
  <si>
    <t>502.883.931-04</t>
  </si>
  <si>
    <t>salethpires@gmail.com</t>
  </si>
  <si>
    <t>Aparecida Salete Pires Pereira</t>
  </si>
  <si>
    <t>(65)99988-1574</t>
  </si>
  <si>
    <t>Sou do assessoramento técnico</t>
  </si>
  <si>
    <t>015.387.951-32</t>
  </si>
  <si>
    <t>adrianamb1982@hotmail.com</t>
  </si>
  <si>
    <t>Marcia Adriana Batista</t>
  </si>
  <si>
    <t>(66)99204-2354</t>
  </si>
  <si>
    <t>conselheira</t>
  </si>
  <si>
    <t>CPF:  XXX.XXX.XXX-XX</t>
  </si>
  <si>
    <t>Telefone: (DD)XXXXX-XXXX</t>
  </si>
  <si>
    <t>E-mail: xxxxxxx@xxxmail.com</t>
  </si>
  <si>
    <t>Você já está inscrito no Curso de Capacitação em Transporte Escolar?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</si>
  <si>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</si>
  <si>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CPF inscrito</t>
  </si>
  <si>
    <t xml:space="preserve">Ronivaldo Marques Pinto </t>
  </si>
  <si>
    <t>ronimarquespta@gmail.com</t>
  </si>
  <si>
    <t>Sim</t>
  </si>
  <si>
    <t xml:space="preserve">Rudnei Moraes Sasso </t>
  </si>
  <si>
    <t>rudneimsasso@gmail.com</t>
  </si>
  <si>
    <t xml:space="preserve">Josimeire da luz </t>
  </si>
  <si>
    <t>Marco Antônio A. Faraco</t>
  </si>
  <si>
    <t xml:space="preserve">Tiago Benfica de Assis </t>
  </si>
  <si>
    <t>Não</t>
  </si>
  <si>
    <t xml:space="preserve">Conselheiro </t>
  </si>
  <si>
    <t>Eversonwiechorek@gmail.com</t>
  </si>
  <si>
    <t xml:space="preserve">Valdinei Makohin do Nascimento </t>
  </si>
  <si>
    <t xml:space="preserve">Cirene Aparecida da Rosa Mendes </t>
  </si>
  <si>
    <t>Cirenepinknmv@hotmail.com</t>
  </si>
  <si>
    <t xml:space="preserve">ELIZEU DA SILVA BAIOCO </t>
  </si>
  <si>
    <t xml:space="preserve">(66)98436-4794 </t>
  </si>
  <si>
    <t>Elizeubaioco@hotmail.com</t>
  </si>
  <si>
    <t>894.899.451-34</t>
  </si>
  <si>
    <t>jouseconrado8@gmail.com</t>
  </si>
  <si>
    <t>Alta Floresta</t>
  </si>
  <si>
    <t>CACS-Fundeb</t>
  </si>
  <si>
    <t>Conselheira</t>
  </si>
  <si>
    <t xml:space="preserve">Irineu Santana Rauschkolb </t>
  </si>
  <si>
    <t xml:space="preserve">Erdilene Bueno Onofre </t>
  </si>
  <si>
    <t xml:space="preserve">(66)98419-2180 </t>
  </si>
  <si>
    <t>Talison Rafael de lima ouvernei</t>
  </si>
  <si>
    <t>daianemariana@msn.com</t>
  </si>
  <si>
    <t xml:space="preserve">Rosângela Feitoza F. Cruz </t>
  </si>
  <si>
    <t>014.272.011-96</t>
  </si>
  <si>
    <t>(66)98411-3794</t>
  </si>
  <si>
    <t>rosangelaffcruz@gmail.com</t>
  </si>
  <si>
    <t xml:space="preserve">Lilian Sayuri Ono </t>
  </si>
  <si>
    <t xml:space="preserve">Sandra Ribeiro de Oliveira </t>
  </si>
  <si>
    <t>844.451.571-04</t>
  </si>
  <si>
    <t>(62)98293-5940</t>
  </si>
  <si>
    <t>sandradeoliveirajardins@gmail.com</t>
  </si>
  <si>
    <t xml:space="preserve">Técnico ADM Educacional </t>
  </si>
  <si>
    <t xml:space="preserve">Não existe </t>
  </si>
  <si>
    <t xml:space="preserve">Aparecida Salete Pires Pereira </t>
  </si>
  <si>
    <t xml:space="preserve">Mariangela Morgan Feitosa </t>
  </si>
  <si>
    <t>897.789.781-91</t>
  </si>
  <si>
    <t>Nova Monte  Verde</t>
  </si>
  <si>
    <t>Rosilda Ribeiro Chagas</t>
  </si>
  <si>
    <t xml:space="preserve">Fernanda Rodrigues Máximo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</si>
</sst>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d/mm/yyyy"/>
    <numFmt numFmtId="166" formatCode="d/m/yyyy"/>
    <numFmt numFmtId="167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1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5" displayName="Form_Responses" name="Form_Responses" id="1">
  <autoFilter ref="$A$1:$M$25"/>
  <tableColumns count="13">
    <tableColumn name="Carimbo de data/hora" id="1"/>
    <tableColumn name="Nome Completo:" id="2"/>
    <tableColumn name="CPF:  XXX.XXX.XXX-XX" id="3"/>
    <tableColumn name="Telefone: (DD)XXXXX-XXXX" id="4"/>
    <tableColumn name="E-mail: xxxxxxx@xxxmail.com" id="5"/>
    <tableColumn name="Você já está inscrito no Curso de Capacitação em Transporte Escolar?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13"/>
    <col customWidth="1" min="3" max="3" width="22.13"/>
    <col customWidth="1" min="4" max="4" width="25.38"/>
    <col customWidth="1" min="5" max="5" width="27.0"/>
    <col customWidth="1" min="6" max="6" width="37.63"/>
    <col customWidth="1" min="7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19" width="18.88"/>
  </cols>
  <sheetData>
    <row r="1" ht="22.5" customHeight="1">
      <c r="A1" s="7" t="s">
        <v>0</v>
      </c>
      <c r="B1" s="8" t="s">
        <v>3</v>
      </c>
      <c r="C1" s="8" t="s">
        <v>218</v>
      </c>
      <c r="D1" s="8" t="s">
        <v>219</v>
      </c>
      <c r="E1" s="8" t="s">
        <v>220</v>
      </c>
      <c r="F1" s="7" t="s">
        <v>221</v>
      </c>
      <c r="G1" s="8" t="s">
        <v>5</v>
      </c>
      <c r="H1" s="7" t="s">
        <v>222</v>
      </c>
      <c r="I1" s="8" t="s">
        <v>7</v>
      </c>
      <c r="J1" s="8" t="s">
        <v>8</v>
      </c>
      <c r="K1" s="8" t="s">
        <v>9</v>
      </c>
      <c r="L1" s="7" t="s">
        <v>10</v>
      </c>
      <c r="M1" s="8" t="s">
        <v>11</v>
      </c>
      <c r="O1" s="2" t="s">
        <v>223</v>
      </c>
    </row>
    <row r="2" ht="22.5" customHeight="1">
      <c r="A2" s="9">
        <v>46100.37340737268</v>
      </c>
      <c r="B2" s="10" t="s">
        <v>224</v>
      </c>
      <c r="C2" s="10" t="s">
        <v>147</v>
      </c>
      <c r="D2" s="10" t="s">
        <v>150</v>
      </c>
      <c r="E2" s="10" t="s">
        <v>225</v>
      </c>
      <c r="F2" s="10" t="s">
        <v>226</v>
      </c>
      <c r="G2" s="11"/>
      <c r="H2" s="11"/>
      <c r="I2" s="11"/>
      <c r="J2" s="11"/>
      <c r="K2" s="11"/>
      <c r="L2" s="11"/>
      <c r="M2" s="11"/>
      <c r="O2" s="12" t="str">
        <f>VLOOKUP(C2,'Página1'!B:I,1,FALSE())</f>
        <v>969.569.331-87</v>
      </c>
    </row>
    <row r="3" ht="22.5" customHeight="1">
      <c r="A3" s="9">
        <v>46100.379253067134</v>
      </c>
      <c r="B3" s="10" t="s">
        <v>227</v>
      </c>
      <c r="C3" s="10" t="s">
        <v>142</v>
      </c>
      <c r="D3" s="10" t="s">
        <v>145</v>
      </c>
      <c r="E3" s="10" t="s">
        <v>228</v>
      </c>
      <c r="F3" s="10" t="s">
        <v>226</v>
      </c>
      <c r="G3" s="11"/>
      <c r="H3" s="11"/>
      <c r="I3" s="11"/>
      <c r="J3" s="11"/>
      <c r="K3" s="11"/>
      <c r="L3" s="11"/>
      <c r="M3" s="11"/>
      <c r="O3" s="12" t="str">
        <f>VLOOKUP(C3,'Página1'!B:I,1,FALSE())</f>
        <v>991.302.971-68</v>
      </c>
    </row>
    <row r="4" ht="22.5" customHeight="1">
      <c r="A4" s="9">
        <v>46100.37959722222</v>
      </c>
      <c r="B4" s="10" t="s">
        <v>229</v>
      </c>
      <c r="C4" s="10" t="s">
        <v>13</v>
      </c>
      <c r="D4" s="10" t="s">
        <v>16</v>
      </c>
      <c r="E4" s="10" t="s">
        <v>14</v>
      </c>
      <c r="F4" s="10" t="s">
        <v>226</v>
      </c>
      <c r="G4" s="11"/>
      <c r="H4" s="11"/>
      <c r="I4" s="11"/>
      <c r="J4" s="11"/>
      <c r="K4" s="11"/>
      <c r="L4" s="11"/>
      <c r="M4" s="11"/>
      <c r="O4" s="12" t="str">
        <f>VLOOKUP(C4,'Página1'!B:I,1,FALSE())</f>
        <v>028.495.521-35</v>
      </c>
    </row>
    <row r="5" ht="22.5" customHeight="1">
      <c r="A5" s="9">
        <v>46100.38046465278</v>
      </c>
      <c r="B5" s="10" t="s">
        <v>118</v>
      </c>
      <c r="C5" s="10" t="s">
        <v>116</v>
      </c>
      <c r="D5" s="10" t="s">
        <v>119</v>
      </c>
      <c r="E5" s="10" t="s">
        <v>117</v>
      </c>
      <c r="F5" s="10" t="s">
        <v>226</v>
      </c>
      <c r="G5" s="11"/>
      <c r="H5" s="11"/>
      <c r="I5" s="11"/>
      <c r="J5" s="11"/>
      <c r="K5" s="11"/>
      <c r="L5" s="11"/>
      <c r="M5" s="11"/>
      <c r="O5" s="12" t="str">
        <f>VLOOKUP(C5,'Página1'!B:I,1,FALSE())</f>
        <v>231.385.802-20</v>
      </c>
    </row>
    <row r="6" ht="22.5" customHeight="1">
      <c r="A6" s="9">
        <v>46100.38143435185</v>
      </c>
      <c r="B6" s="10" t="s">
        <v>230</v>
      </c>
      <c r="C6" s="10" t="s">
        <v>204</v>
      </c>
      <c r="D6" s="10" t="s">
        <v>206</v>
      </c>
      <c r="E6" s="10" t="s">
        <v>122</v>
      </c>
      <c r="F6" s="10" t="s">
        <v>226</v>
      </c>
      <c r="G6" s="11"/>
      <c r="H6" s="11"/>
      <c r="I6" s="11"/>
      <c r="J6" s="11"/>
      <c r="K6" s="11"/>
      <c r="L6" s="11"/>
      <c r="M6" s="11"/>
      <c r="O6" s="12" t="str">
        <f>VLOOKUP(C6,'Página1'!B:I,1,FALSE())</f>
        <v>950.825.901-97</v>
      </c>
    </row>
    <row r="7" ht="22.5" customHeight="1">
      <c r="A7" s="9">
        <v>46100.381618680556</v>
      </c>
      <c r="B7" s="10" t="s">
        <v>231</v>
      </c>
      <c r="C7" s="10" t="s">
        <v>137</v>
      </c>
      <c r="D7" s="10" t="s">
        <v>140</v>
      </c>
      <c r="E7" s="10" t="s">
        <v>138</v>
      </c>
      <c r="F7" s="10" t="s">
        <v>232</v>
      </c>
      <c r="G7" s="13">
        <v>31391.0</v>
      </c>
      <c r="H7" s="10" t="s">
        <v>140</v>
      </c>
      <c r="I7" s="10" t="s">
        <v>17</v>
      </c>
      <c r="J7" s="10" t="s">
        <v>33</v>
      </c>
      <c r="K7" s="11"/>
      <c r="L7" s="11"/>
      <c r="M7" s="10" t="s">
        <v>233</v>
      </c>
      <c r="O7" s="12" t="str">
        <f>VLOOKUP(C7,'Página1'!B:I,1,FALSE())</f>
        <v>009.976.891-70</v>
      </c>
    </row>
    <row r="8" ht="22.5" customHeight="1">
      <c r="A8" s="9">
        <v>46100.38188714121</v>
      </c>
      <c r="B8" s="10" t="s">
        <v>155</v>
      </c>
      <c r="C8" s="10" t="s">
        <v>153</v>
      </c>
      <c r="D8" s="10" t="s">
        <v>156</v>
      </c>
      <c r="E8" s="10" t="s">
        <v>234</v>
      </c>
      <c r="F8" s="10" t="s">
        <v>226</v>
      </c>
      <c r="G8" s="11"/>
      <c r="H8" s="11"/>
      <c r="I8" s="11"/>
      <c r="J8" s="11"/>
      <c r="K8" s="11"/>
      <c r="L8" s="11"/>
      <c r="M8" s="11"/>
      <c r="O8" s="12" t="str">
        <f>VLOOKUP(C8,'Página1'!B:I,1,FALSE())</f>
        <v>032.294.371-01</v>
      </c>
    </row>
    <row r="9" ht="22.5" customHeight="1">
      <c r="A9" s="9">
        <v>46100.382398981485</v>
      </c>
      <c r="B9" s="10" t="s">
        <v>235</v>
      </c>
      <c r="C9" s="10" t="s">
        <v>21</v>
      </c>
      <c r="D9" s="10" t="s">
        <v>24</v>
      </c>
      <c r="E9" s="10" t="s">
        <v>22</v>
      </c>
      <c r="F9" s="10" t="s">
        <v>226</v>
      </c>
      <c r="G9" s="11"/>
      <c r="H9" s="11"/>
      <c r="I9" s="11"/>
      <c r="J9" s="11"/>
      <c r="K9" s="11"/>
      <c r="L9" s="11"/>
      <c r="M9" s="11"/>
      <c r="O9" s="12" t="str">
        <f>VLOOKUP(C9,'Página1'!B:I,1,FALSE())</f>
        <v>011.149.971-29</v>
      </c>
    </row>
    <row r="10" ht="22.5" customHeight="1">
      <c r="A10" s="9">
        <v>46100.38361020833</v>
      </c>
      <c r="B10" s="10" t="s">
        <v>195</v>
      </c>
      <c r="C10" s="10" t="s">
        <v>193</v>
      </c>
      <c r="D10" s="10" t="s">
        <v>196</v>
      </c>
      <c r="E10" s="10" t="s">
        <v>194</v>
      </c>
      <c r="F10" s="10" t="s">
        <v>226</v>
      </c>
      <c r="G10" s="11"/>
      <c r="H10" s="11"/>
      <c r="I10" s="11"/>
      <c r="J10" s="11"/>
      <c r="K10" s="11"/>
      <c r="L10" s="11"/>
      <c r="M10" s="11"/>
      <c r="O10" s="12" t="str">
        <f>VLOOKUP(C10,'Página1'!B:I,1,FALSE())</f>
        <v>061.056.901-50</v>
      </c>
    </row>
    <row r="11" ht="22.5" customHeight="1">
      <c r="A11" s="9">
        <v>46100.384944108795</v>
      </c>
      <c r="B11" s="10" t="s">
        <v>236</v>
      </c>
      <c r="C11" s="10" t="s">
        <v>189</v>
      </c>
      <c r="D11" s="10" t="s">
        <v>192</v>
      </c>
      <c r="E11" s="10" t="s">
        <v>237</v>
      </c>
      <c r="F11" s="10" t="s">
        <v>226</v>
      </c>
      <c r="G11" s="11"/>
      <c r="H11" s="11"/>
      <c r="I11" s="11"/>
      <c r="J11" s="11"/>
      <c r="K11" s="11"/>
      <c r="L11" s="11"/>
      <c r="M11" s="11"/>
      <c r="O11" s="12" t="str">
        <f>VLOOKUP(C11,'Página1'!B:I,1,FALSE())</f>
        <v>795.415.009-78</v>
      </c>
    </row>
    <row r="12" ht="22.5" customHeight="1">
      <c r="A12" s="9">
        <v>46100.38696798611</v>
      </c>
      <c r="B12" s="10" t="s">
        <v>238</v>
      </c>
      <c r="C12" s="10" t="s">
        <v>159</v>
      </c>
      <c r="D12" s="10" t="s">
        <v>239</v>
      </c>
      <c r="E12" s="10" t="s">
        <v>240</v>
      </c>
      <c r="F12" s="10" t="s">
        <v>226</v>
      </c>
      <c r="G12" s="11"/>
      <c r="H12" s="11"/>
      <c r="I12" s="11"/>
      <c r="J12" s="11"/>
      <c r="K12" s="11"/>
      <c r="L12" s="11"/>
      <c r="M12" s="11"/>
      <c r="O12" s="12" t="str">
        <f>VLOOKUP(C12,'Página1'!B:I,1,FALSE())</f>
        <v>025.590.831-83</v>
      </c>
    </row>
    <row r="13" ht="22.5" customHeight="1">
      <c r="A13" s="9">
        <v>46100.387019953705</v>
      </c>
      <c r="B13" s="10" t="s">
        <v>123</v>
      </c>
      <c r="C13" s="10" t="s">
        <v>241</v>
      </c>
      <c r="D13" s="10" t="s">
        <v>124</v>
      </c>
      <c r="E13" s="10" t="s">
        <v>242</v>
      </c>
      <c r="F13" s="10" t="s">
        <v>226</v>
      </c>
      <c r="G13" s="14">
        <v>28899.0</v>
      </c>
      <c r="H13" s="10" t="s">
        <v>124</v>
      </c>
      <c r="I13" s="10" t="s">
        <v>243</v>
      </c>
      <c r="J13" s="10" t="s">
        <v>244</v>
      </c>
      <c r="K13" s="10"/>
      <c r="L13" s="11"/>
      <c r="M13" s="10" t="s">
        <v>245</v>
      </c>
      <c r="O13" s="12" t="str">
        <f>VLOOKUP(C13,'Página1'!B:I,1,FALSE())</f>
        <v>#N/A</v>
      </c>
      <c r="P13" s="2">
        <v>1.0</v>
      </c>
    </row>
    <row r="14" ht="22.5" customHeight="1">
      <c r="A14" s="9">
        <v>46100.38723768519</v>
      </c>
      <c r="B14" s="10" t="s">
        <v>246</v>
      </c>
      <c r="C14" s="10" t="s">
        <v>35</v>
      </c>
      <c r="D14" s="10" t="s">
        <v>38</v>
      </c>
      <c r="E14" s="10" t="s">
        <v>36</v>
      </c>
      <c r="F14" s="10" t="s">
        <v>226</v>
      </c>
      <c r="G14" s="11"/>
      <c r="H14" s="11"/>
      <c r="I14" s="11"/>
      <c r="J14" s="11"/>
      <c r="K14" s="11"/>
      <c r="L14" s="11"/>
      <c r="M14" s="11"/>
      <c r="O14" s="12" t="str">
        <f>VLOOKUP(C14,'Página1'!B:I,1,FALSE())</f>
        <v>040.738.891-50</v>
      </c>
    </row>
    <row r="15" ht="22.5" customHeight="1">
      <c r="A15" s="9">
        <v>46100.38725543981</v>
      </c>
      <c r="B15" s="10" t="s">
        <v>247</v>
      </c>
      <c r="C15" s="10" t="s">
        <v>163</v>
      </c>
      <c r="D15" s="10" t="s">
        <v>248</v>
      </c>
      <c r="E15" s="10" t="s">
        <v>164</v>
      </c>
      <c r="F15" s="10" t="s">
        <v>226</v>
      </c>
      <c r="G15" s="11"/>
      <c r="H15" s="11"/>
      <c r="I15" s="11"/>
      <c r="J15" s="11"/>
      <c r="K15" s="11"/>
      <c r="L15" s="11"/>
      <c r="M15" s="11"/>
      <c r="O15" s="12" t="str">
        <f>VLOOKUP(C15,'Página1'!B:I,1,FALSE())</f>
        <v>043.728.121-32</v>
      </c>
    </row>
    <row r="16" ht="22.5" customHeight="1">
      <c r="A16" s="9">
        <v>46100.38776429398</v>
      </c>
      <c r="B16" s="10" t="s">
        <v>170</v>
      </c>
      <c r="C16" s="10" t="s">
        <v>168</v>
      </c>
      <c r="D16" s="10" t="s">
        <v>171</v>
      </c>
      <c r="E16" s="10" t="s">
        <v>169</v>
      </c>
      <c r="F16" s="10" t="s">
        <v>226</v>
      </c>
      <c r="G16" s="11"/>
      <c r="H16" s="11"/>
      <c r="I16" s="11"/>
      <c r="J16" s="11"/>
      <c r="K16" s="11"/>
      <c r="L16" s="11"/>
      <c r="M16" s="11"/>
      <c r="O16" s="12" t="str">
        <f>VLOOKUP(C16,'Página1'!B:I,1,FALSE())</f>
        <v>018.772.109-27</v>
      </c>
    </row>
    <row r="17" ht="22.5" customHeight="1">
      <c r="A17" s="9">
        <v>46100.39016660879</v>
      </c>
      <c r="B17" s="10" t="s">
        <v>249</v>
      </c>
      <c r="C17" s="10" t="s">
        <v>184</v>
      </c>
      <c r="D17" s="10" t="s">
        <v>187</v>
      </c>
      <c r="E17" s="10" t="s">
        <v>185</v>
      </c>
      <c r="F17" s="10" t="s">
        <v>226</v>
      </c>
      <c r="G17" s="11"/>
      <c r="H17" s="11"/>
      <c r="I17" s="11"/>
      <c r="J17" s="11"/>
      <c r="K17" s="11"/>
      <c r="L17" s="11"/>
      <c r="M17" s="11"/>
      <c r="O17" s="12" t="str">
        <f>VLOOKUP(C17,'Página1'!B:I,1,FALSE())</f>
        <v>058.230.421-08</v>
      </c>
    </row>
    <row r="18" ht="22.5" customHeight="1">
      <c r="A18" s="9">
        <v>46100.390572442135</v>
      </c>
      <c r="B18" s="10" t="s">
        <v>66</v>
      </c>
      <c r="C18" s="10" t="s">
        <v>64</v>
      </c>
      <c r="D18" s="10" t="s">
        <v>67</v>
      </c>
      <c r="E18" s="10" t="s">
        <v>250</v>
      </c>
      <c r="F18" s="10" t="s">
        <v>226</v>
      </c>
      <c r="G18" s="11"/>
      <c r="H18" s="11"/>
      <c r="I18" s="11"/>
      <c r="J18" s="11"/>
      <c r="K18" s="11"/>
      <c r="L18" s="11"/>
      <c r="M18" s="11"/>
      <c r="O18" s="12" t="str">
        <f>VLOOKUP(C18,'Página1'!B:I,1,FALSE())</f>
        <v>731.237.221-04</v>
      </c>
    </row>
    <row r="19" ht="22.5" customHeight="1">
      <c r="A19" s="9">
        <v>46100.3906278588</v>
      </c>
      <c r="B19" s="10" t="s">
        <v>251</v>
      </c>
      <c r="C19" s="10" t="s">
        <v>252</v>
      </c>
      <c r="D19" s="10" t="s">
        <v>253</v>
      </c>
      <c r="E19" s="10" t="s">
        <v>254</v>
      </c>
      <c r="F19" s="10" t="s">
        <v>232</v>
      </c>
      <c r="G19" s="13">
        <v>30864.0</v>
      </c>
      <c r="H19" s="10" t="s">
        <v>253</v>
      </c>
      <c r="I19" s="10" t="s">
        <v>39</v>
      </c>
      <c r="J19" s="10" t="s">
        <v>33</v>
      </c>
      <c r="K19" s="11"/>
      <c r="L19" s="11"/>
      <c r="M19" s="10" t="s">
        <v>34</v>
      </c>
      <c r="O19" s="12" t="str">
        <f>VLOOKUP(C19,'Página1'!B:I,1,FALSE())</f>
        <v>#N/A</v>
      </c>
      <c r="P19" s="2">
        <v>2.0</v>
      </c>
    </row>
    <row r="20" ht="22.5" customHeight="1">
      <c r="A20" s="9">
        <v>46100.39114057871</v>
      </c>
      <c r="B20" s="10" t="s">
        <v>255</v>
      </c>
      <c r="C20" s="10" t="s">
        <v>111</v>
      </c>
      <c r="D20" s="10" t="s">
        <v>114</v>
      </c>
      <c r="E20" s="10" t="s">
        <v>112</v>
      </c>
      <c r="F20" s="10" t="s">
        <v>226</v>
      </c>
      <c r="G20" s="11"/>
      <c r="H20" s="11"/>
      <c r="I20" s="11"/>
      <c r="J20" s="11"/>
      <c r="K20" s="11"/>
      <c r="L20" s="11"/>
      <c r="M20" s="11"/>
      <c r="O20" s="12" t="str">
        <f>VLOOKUP(C20,'Página1'!B:I,1,FALSE())</f>
        <v>830.654.741-15</v>
      </c>
    </row>
    <row r="21" ht="22.5" customHeight="1">
      <c r="A21" s="9">
        <v>46100.392065011576</v>
      </c>
      <c r="B21" s="10" t="s">
        <v>256</v>
      </c>
      <c r="C21" s="10" t="s">
        <v>257</v>
      </c>
      <c r="D21" s="10" t="s">
        <v>258</v>
      </c>
      <c r="E21" s="10" t="s">
        <v>259</v>
      </c>
      <c r="F21" s="10" t="s">
        <v>232</v>
      </c>
      <c r="G21" s="13">
        <v>27993.0</v>
      </c>
      <c r="H21" s="10" t="s">
        <v>258</v>
      </c>
      <c r="I21" s="10" t="s">
        <v>39</v>
      </c>
      <c r="J21" s="10" t="s">
        <v>18</v>
      </c>
      <c r="K21" s="10" t="s">
        <v>260</v>
      </c>
      <c r="L21" s="10" t="s">
        <v>261</v>
      </c>
      <c r="M21" s="11"/>
      <c r="O21" s="12" t="str">
        <f>VLOOKUP(C21,'Página1'!B:I,1,FALSE())</f>
        <v>#N/A</v>
      </c>
      <c r="P21" s="2">
        <v>3.0</v>
      </c>
    </row>
    <row r="22" ht="22.5" customHeight="1">
      <c r="A22" s="9">
        <v>46100.39209009259</v>
      </c>
      <c r="B22" s="10" t="s">
        <v>262</v>
      </c>
      <c r="C22" s="10" t="s">
        <v>208</v>
      </c>
      <c r="D22" s="10" t="s">
        <v>211</v>
      </c>
      <c r="E22" s="10" t="s">
        <v>209</v>
      </c>
      <c r="F22" s="10" t="s">
        <v>226</v>
      </c>
      <c r="G22" s="11"/>
      <c r="H22" s="11"/>
      <c r="I22" s="11"/>
      <c r="J22" s="11"/>
      <c r="K22" s="11"/>
      <c r="L22" s="11"/>
      <c r="M22" s="11"/>
      <c r="O22" s="12" t="str">
        <f>VLOOKUP(C22,'Página1'!B:I,1,FALSE())</f>
        <v>502.883.931-04</v>
      </c>
    </row>
    <row r="23" ht="22.5" customHeight="1">
      <c r="A23" s="9">
        <v>46100.39333664352</v>
      </c>
      <c r="B23" s="10" t="s">
        <v>263</v>
      </c>
      <c r="C23" s="10" t="s">
        <v>264</v>
      </c>
      <c r="D23" s="10" t="s">
        <v>182</v>
      </c>
      <c r="E23" s="10" t="s">
        <v>180</v>
      </c>
      <c r="F23" s="10" t="s">
        <v>232</v>
      </c>
      <c r="G23" s="14">
        <v>29393.0</v>
      </c>
      <c r="H23" s="10" t="s">
        <v>182</v>
      </c>
      <c r="I23" s="10" t="s">
        <v>265</v>
      </c>
      <c r="J23" s="10" t="s">
        <v>244</v>
      </c>
      <c r="K23" s="10"/>
      <c r="L23" s="11"/>
      <c r="M23" s="10" t="s">
        <v>217</v>
      </c>
      <c r="O23" s="12" t="str">
        <f>VLOOKUP(C23,'Página1'!B:I,1,FALSE())</f>
        <v>#N/A</v>
      </c>
      <c r="P23" s="2">
        <v>4.0</v>
      </c>
    </row>
    <row r="24" ht="22.5" customHeight="1">
      <c r="A24" s="9">
        <v>46100.393483437496</v>
      </c>
      <c r="B24" s="10" t="s">
        <v>266</v>
      </c>
      <c r="C24" s="10" t="s">
        <v>102</v>
      </c>
      <c r="D24" s="10" t="s">
        <v>105</v>
      </c>
      <c r="E24" s="10" t="s">
        <v>103</v>
      </c>
      <c r="F24" s="10" t="s">
        <v>226</v>
      </c>
      <c r="G24" s="11"/>
      <c r="H24" s="11"/>
      <c r="I24" s="11"/>
      <c r="J24" s="11"/>
      <c r="K24" s="11"/>
      <c r="L24" s="11"/>
      <c r="M24" s="11"/>
      <c r="O24" s="12" t="str">
        <f>VLOOKUP(C24,'Página1'!B:I,1,FALSE())</f>
        <v>957.003.829-20</v>
      </c>
    </row>
    <row r="25" ht="22.5" customHeight="1">
      <c r="A25" s="9">
        <v>46100.45756744213</v>
      </c>
      <c r="B25" s="10" t="s">
        <v>267</v>
      </c>
      <c r="C25" s="10" t="s">
        <v>198</v>
      </c>
      <c r="D25" s="10" t="s">
        <v>201</v>
      </c>
      <c r="E25" s="10" t="s">
        <v>199</v>
      </c>
      <c r="F25" s="10" t="s">
        <v>226</v>
      </c>
      <c r="G25" s="11"/>
      <c r="H25" s="11"/>
      <c r="I25" s="11"/>
      <c r="J25" s="11"/>
      <c r="K25" s="11"/>
      <c r="L25" s="11"/>
      <c r="M25" s="11"/>
      <c r="O25" s="12" t="str">
        <f>VLOOKUP(C25,'Página1'!B:I,1,FALSE())</f>
        <v>772.752.841-20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40.38"/>
    <col customWidth="1" min="3" max="3" width="12.63"/>
    <col customWidth="1" min="4" max="4" width="40.38"/>
    <col customWidth="1" min="5" max="5" width="29.5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46073.598391203705</v>
      </c>
      <c r="B2" s="2" t="s">
        <v>13</v>
      </c>
      <c r="C2" s="2" t="s">
        <v>14</v>
      </c>
      <c r="D2" s="2" t="s">
        <v>15</v>
      </c>
      <c r="E2" s="2" t="s">
        <v>14</v>
      </c>
      <c r="F2" s="4">
        <v>32718.0</v>
      </c>
      <c r="G2" s="2" t="s">
        <v>16</v>
      </c>
      <c r="H2" s="2" t="s">
        <v>17</v>
      </c>
      <c r="I2" s="2" t="s">
        <v>18</v>
      </c>
      <c r="J2" s="2" t="s">
        <v>19</v>
      </c>
      <c r="M2" s="2" t="s">
        <v>20</v>
      </c>
    </row>
    <row r="3">
      <c r="A3" s="3">
        <v>46073.61133101852</v>
      </c>
      <c r="B3" s="2" t="s">
        <v>21</v>
      </c>
      <c r="C3" s="2" t="s">
        <v>22</v>
      </c>
      <c r="D3" s="2" t="s">
        <v>23</v>
      </c>
      <c r="E3" s="2" t="s">
        <v>22</v>
      </c>
      <c r="F3" s="4">
        <v>30705.0</v>
      </c>
      <c r="G3" s="2" t="s">
        <v>24</v>
      </c>
      <c r="H3" s="2" t="s">
        <v>25</v>
      </c>
      <c r="I3" s="2" t="s">
        <v>18</v>
      </c>
      <c r="J3" s="2" t="s">
        <v>26</v>
      </c>
      <c r="K3" s="2" t="s">
        <v>27</v>
      </c>
      <c r="M3" s="2" t="s">
        <v>20</v>
      </c>
    </row>
    <row r="4">
      <c r="A4" s="3">
        <v>46073.642372685186</v>
      </c>
      <c r="B4" s="2" t="s">
        <v>28</v>
      </c>
      <c r="C4" s="2" t="s">
        <v>29</v>
      </c>
      <c r="D4" s="2" t="s">
        <v>30</v>
      </c>
      <c r="E4" s="2" t="s">
        <v>29</v>
      </c>
      <c r="F4" s="4">
        <v>27782.0</v>
      </c>
      <c r="G4" s="2" t="s">
        <v>31</v>
      </c>
      <c r="H4" s="2" t="s">
        <v>32</v>
      </c>
      <c r="I4" s="2" t="s">
        <v>33</v>
      </c>
      <c r="L4" s="2" t="s">
        <v>34</v>
      </c>
      <c r="M4" s="2" t="s">
        <v>20</v>
      </c>
    </row>
    <row r="5">
      <c r="A5" s="3">
        <v>46073.64796296296</v>
      </c>
      <c r="B5" s="2" t="s">
        <v>35</v>
      </c>
      <c r="C5" s="2" t="s">
        <v>36</v>
      </c>
      <c r="D5" s="2" t="s">
        <v>37</v>
      </c>
      <c r="E5" s="2" t="s">
        <v>36</v>
      </c>
      <c r="F5" s="5">
        <v>33569.0</v>
      </c>
      <c r="G5" s="2" t="s">
        <v>38</v>
      </c>
      <c r="H5" s="2" t="s">
        <v>39</v>
      </c>
      <c r="I5" s="2" t="s">
        <v>18</v>
      </c>
      <c r="J5" s="2" t="s">
        <v>40</v>
      </c>
      <c r="M5" s="2" t="s">
        <v>20</v>
      </c>
    </row>
    <row r="6" ht="15.0" customHeight="1">
      <c r="A6" s="3">
        <v>46073.65813657407</v>
      </c>
      <c r="B6" s="2" t="s">
        <v>41</v>
      </c>
      <c r="C6" s="2" t="s">
        <v>42</v>
      </c>
      <c r="D6" s="2" t="s">
        <v>43</v>
      </c>
      <c r="E6" s="2" t="s">
        <v>42</v>
      </c>
      <c r="F6" s="4">
        <v>25764.0</v>
      </c>
      <c r="G6" s="2" t="s">
        <v>44</v>
      </c>
      <c r="H6" s="2" t="s">
        <v>45</v>
      </c>
      <c r="I6" s="2" t="s">
        <v>18</v>
      </c>
      <c r="J6" s="2" t="s">
        <v>46</v>
      </c>
      <c r="K6" s="2" t="s">
        <v>47</v>
      </c>
      <c r="M6" s="2" t="s">
        <v>20</v>
      </c>
    </row>
    <row r="7">
      <c r="A7" s="3">
        <v>46073.76221064815</v>
      </c>
      <c r="B7" s="2" t="s">
        <v>48</v>
      </c>
      <c r="C7" s="2" t="s">
        <v>49</v>
      </c>
      <c r="D7" s="2" t="s">
        <v>50</v>
      </c>
      <c r="E7" s="2" t="s">
        <v>49</v>
      </c>
      <c r="F7" s="4">
        <v>37494.0</v>
      </c>
      <c r="G7" s="2" t="s">
        <v>51</v>
      </c>
      <c r="H7" s="2" t="s">
        <v>39</v>
      </c>
      <c r="I7" s="2" t="s">
        <v>33</v>
      </c>
      <c r="L7" s="2" t="s">
        <v>52</v>
      </c>
      <c r="M7" s="2" t="s">
        <v>20</v>
      </c>
    </row>
    <row r="8">
      <c r="A8" s="3">
        <v>46073.7644212963</v>
      </c>
      <c r="B8" s="2" t="s">
        <v>53</v>
      </c>
      <c r="C8" s="2" t="s">
        <v>54</v>
      </c>
      <c r="D8" s="2" t="s">
        <v>55</v>
      </c>
      <c r="E8" s="2" t="s">
        <v>54</v>
      </c>
      <c r="F8" s="5">
        <v>26992.0</v>
      </c>
      <c r="G8" s="2" t="s">
        <v>56</v>
      </c>
      <c r="H8" s="2" t="s">
        <v>39</v>
      </c>
      <c r="I8" s="2" t="s">
        <v>18</v>
      </c>
      <c r="J8" s="2" t="s">
        <v>57</v>
      </c>
      <c r="M8" s="2" t="s">
        <v>20</v>
      </c>
    </row>
    <row r="9">
      <c r="A9" s="3">
        <v>46077.35199074074</v>
      </c>
      <c r="B9" s="2" t="s">
        <v>58</v>
      </c>
      <c r="C9" s="2" t="s">
        <v>59</v>
      </c>
      <c r="D9" s="2" t="s">
        <v>60</v>
      </c>
      <c r="E9" s="2" t="s">
        <v>59</v>
      </c>
      <c r="F9" s="4">
        <v>30394.0</v>
      </c>
      <c r="G9" s="2" t="s">
        <v>61</v>
      </c>
      <c r="H9" s="2" t="s">
        <v>32</v>
      </c>
      <c r="I9" s="2" t="s">
        <v>18</v>
      </c>
      <c r="J9" s="2" t="s">
        <v>62</v>
      </c>
      <c r="K9" s="2" t="s">
        <v>63</v>
      </c>
      <c r="M9" s="2" t="s">
        <v>20</v>
      </c>
    </row>
    <row r="10">
      <c r="A10" s="3">
        <v>46077.35971064815</v>
      </c>
      <c r="B10" s="2" t="s">
        <v>28</v>
      </c>
      <c r="C10" s="2" t="s">
        <v>29</v>
      </c>
      <c r="D10" s="2" t="s">
        <v>30</v>
      </c>
      <c r="E10" s="2" t="s">
        <v>29</v>
      </c>
      <c r="F10" s="4">
        <v>27782.0</v>
      </c>
      <c r="G10" s="2" t="s">
        <v>31</v>
      </c>
      <c r="H10" s="2" t="s">
        <v>32</v>
      </c>
      <c r="I10" s="2" t="s">
        <v>33</v>
      </c>
      <c r="L10" s="2" t="s">
        <v>34</v>
      </c>
      <c r="M10" s="2" t="s">
        <v>20</v>
      </c>
    </row>
    <row r="11">
      <c r="A11" s="3">
        <v>46079.484143518515</v>
      </c>
      <c r="B11" s="2" t="s">
        <v>64</v>
      </c>
      <c r="C11" s="2" t="s">
        <v>65</v>
      </c>
      <c r="D11" s="2" t="s">
        <v>66</v>
      </c>
      <c r="E11" s="2" t="s">
        <v>65</v>
      </c>
      <c r="F11" s="5">
        <v>31772.0</v>
      </c>
      <c r="G11" s="2" t="s">
        <v>67</v>
      </c>
      <c r="H11" s="2" t="s">
        <v>32</v>
      </c>
      <c r="I11" s="2" t="s">
        <v>18</v>
      </c>
      <c r="J11" s="2" t="s">
        <v>68</v>
      </c>
      <c r="M11" s="2" t="s">
        <v>20</v>
      </c>
    </row>
    <row r="12">
      <c r="A12" s="3">
        <v>46080.36193287037</v>
      </c>
      <c r="B12" s="2" t="s">
        <v>69</v>
      </c>
      <c r="C12" s="2" t="s">
        <v>70</v>
      </c>
      <c r="D12" s="2" t="s">
        <v>71</v>
      </c>
      <c r="E12" s="2" t="s">
        <v>70</v>
      </c>
      <c r="F12" s="4">
        <v>31829.0</v>
      </c>
      <c r="G12" s="2" t="s">
        <v>72</v>
      </c>
      <c r="H12" s="2" t="s">
        <v>73</v>
      </c>
      <c r="I12" s="2" t="s">
        <v>18</v>
      </c>
      <c r="J12" s="2" t="s">
        <v>74</v>
      </c>
      <c r="K12" s="2" t="s">
        <v>75</v>
      </c>
      <c r="M12" s="2" t="s">
        <v>20</v>
      </c>
    </row>
    <row r="13">
      <c r="A13" s="3">
        <v>46080.363645833335</v>
      </c>
      <c r="B13" s="2" t="s">
        <v>76</v>
      </c>
      <c r="C13" s="2" t="s">
        <v>77</v>
      </c>
      <c r="D13" s="2" t="s">
        <v>78</v>
      </c>
      <c r="E13" s="2" t="s">
        <v>77</v>
      </c>
      <c r="F13" s="4">
        <v>31121.0</v>
      </c>
      <c r="G13" s="2" t="s">
        <v>79</v>
      </c>
      <c r="H13" s="2" t="s">
        <v>73</v>
      </c>
      <c r="I13" s="2" t="s">
        <v>18</v>
      </c>
      <c r="J13" s="2" t="s">
        <v>80</v>
      </c>
      <c r="M13" s="2" t="s">
        <v>20</v>
      </c>
    </row>
    <row r="14">
      <c r="A14" s="3">
        <v>46083.61001157408</v>
      </c>
      <c r="B14" s="2" t="s">
        <v>81</v>
      </c>
      <c r="C14" s="2" t="s">
        <v>82</v>
      </c>
      <c r="D14" s="2" t="s">
        <v>83</v>
      </c>
      <c r="E14" s="2" t="s">
        <v>82</v>
      </c>
      <c r="F14" s="4">
        <v>30380.0</v>
      </c>
      <c r="G14" s="2" t="s">
        <v>84</v>
      </c>
      <c r="H14" s="2" t="s">
        <v>25</v>
      </c>
      <c r="I14" s="2" t="s">
        <v>18</v>
      </c>
      <c r="J14" s="2" t="s">
        <v>85</v>
      </c>
      <c r="M14" s="2" t="s">
        <v>20</v>
      </c>
    </row>
    <row r="15">
      <c r="A15" s="3">
        <v>46083.611226851855</v>
      </c>
      <c r="B15" s="2" t="s">
        <v>86</v>
      </c>
      <c r="C15" s="2" t="s">
        <v>87</v>
      </c>
      <c r="D15" s="2" t="s">
        <v>88</v>
      </c>
      <c r="E15" s="2" t="s">
        <v>87</v>
      </c>
      <c r="F15" s="4">
        <v>31064.0</v>
      </c>
      <c r="G15" s="2" t="s">
        <v>89</v>
      </c>
      <c r="H15" s="2" t="s">
        <v>25</v>
      </c>
      <c r="I15" s="2" t="s">
        <v>33</v>
      </c>
      <c r="L15" s="2" t="s">
        <v>90</v>
      </c>
      <c r="M15" s="2" t="s">
        <v>20</v>
      </c>
    </row>
    <row r="16">
      <c r="A16" s="3">
        <v>46084.50798611111</v>
      </c>
      <c r="B16" s="2" t="s">
        <v>91</v>
      </c>
      <c r="C16" s="2" t="s">
        <v>92</v>
      </c>
      <c r="D16" s="2" t="s">
        <v>93</v>
      </c>
      <c r="E16" s="2" t="s">
        <v>92</v>
      </c>
      <c r="F16" s="4">
        <v>26549.0</v>
      </c>
      <c r="G16" s="2" t="s">
        <v>94</v>
      </c>
      <c r="H16" s="2" t="s">
        <v>45</v>
      </c>
      <c r="I16" s="2" t="s">
        <v>33</v>
      </c>
      <c r="L16" s="2" t="s">
        <v>95</v>
      </c>
      <c r="M16" s="2" t="s">
        <v>20</v>
      </c>
    </row>
    <row r="17">
      <c r="A17" s="3">
        <v>46084.55641203704</v>
      </c>
      <c r="B17" s="2" t="s">
        <v>96</v>
      </c>
      <c r="C17" s="2" t="s">
        <v>97</v>
      </c>
      <c r="D17" s="2" t="s">
        <v>98</v>
      </c>
      <c r="E17" s="2" t="s">
        <v>99</v>
      </c>
      <c r="F17" s="4">
        <v>30804.0</v>
      </c>
      <c r="G17" s="2" t="s">
        <v>100</v>
      </c>
      <c r="H17" s="2" t="s">
        <v>45</v>
      </c>
      <c r="I17" s="2" t="s">
        <v>33</v>
      </c>
      <c r="L17" s="2" t="s">
        <v>101</v>
      </c>
      <c r="M17" s="2" t="s">
        <v>20</v>
      </c>
    </row>
    <row r="18">
      <c r="A18" s="3">
        <v>46085.6684375</v>
      </c>
      <c r="B18" s="2" t="s">
        <v>102</v>
      </c>
      <c r="C18" s="2" t="s">
        <v>103</v>
      </c>
      <c r="D18" s="2" t="s">
        <v>104</v>
      </c>
      <c r="E18" s="2" t="s">
        <v>103</v>
      </c>
      <c r="F18" s="4">
        <v>27429.0</v>
      </c>
      <c r="G18" s="2" t="s">
        <v>105</v>
      </c>
      <c r="H18" s="2" t="s">
        <v>45</v>
      </c>
      <c r="I18" s="2" t="s">
        <v>33</v>
      </c>
      <c r="L18" s="2" t="s">
        <v>106</v>
      </c>
      <c r="M18" s="2" t="s">
        <v>20</v>
      </c>
    </row>
    <row r="19">
      <c r="A19" s="3">
        <v>46087.60130787037</v>
      </c>
      <c r="B19" s="2" t="s">
        <v>107</v>
      </c>
      <c r="C19" s="2" t="s">
        <v>108</v>
      </c>
      <c r="D19" s="2" t="s">
        <v>109</v>
      </c>
      <c r="E19" s="2" t="s">
        <v>108</v>
      </c>
      <c r="F19" s="4">
        <v>28359.0</v>
      </c>
      <c r="G19" s="2" t="s">
        <v>110</v>
      </c>
      <c r="H19" s="2" t="s">
        <v>17</v>
      </c>
      <c r="I19" s="2" t="s">
        <v>33</v>
      </c>
      <c r="L19" s="2" t="s">
        <v>34</v>
      </c>
      <c r="M19" s="2" t="s">
        <v>20</v>
      </c>
    </row>
    <row r="20">
      <c r="A20" s="3">
        <v>46087.66988425926</v>
      </c>
      <c r="B20" s="2" t="s">
        <v>111</v>
      </c>
      <c r="C20" s="2" t="s">
        <v>112</v>
      </c>
      <c r="D20" s="2" t="s">
        <v>113</v>
      </c>
      <c r="E20" s="2" t="s">
        <v>112</v>
      </c>
      <c r="F20" s="4">
        <v>29016.0</v>
      </c>
      <c r="G20" s="2" t="s">
        <v>114</v>
      </c>
      <c r="H20" s="2" t="s">
        <v>17</v>
      </c>
      <c r="I20" s="2" t="s">
        <v>33</v>
      </c>
      <c r="L20" s="2" t="s">
        <v>115</v>
      </c>
      <c r="M20" s="2" t="s">
        <v>20</v>
      </c>
    </row>
    <row r="21">
      <c r="A21" s="3">
        <v>46087.671273148146</v>
      </c>
      <c r="B21" s="2" t="s">
        <v>116</v>
      </c>
      <c r="C21" s="2" t="s">
        <v>117</v>
      </c>
      <c r="D21" s="2" t="s">
        <v>118</v>
      </c>
      <c r="E21" s="2" t="s">
        <v>117</v>
      </c>
      <c r="F21" s="4">
        <v>25060.0</v>
      </c>
      <c r="G21" s="2" t="s">
        <v>119</v>
      </c>
      <c r="H21" s="2" t="s">
        <v>17</v>
      </c>
      <c r="I21" s="2" t="s">
        <v>33</v>
      </c>
      <c r="L21" s="2" t="s">
        <v>120</v>
      </c>
      <c r="M21" s="2" t="s">
        <v>20</v>
      </c>
    </row>
    <row r="22">
      <c r="A22" s="3">
        <v>46087.672476851854</v>
      </c>
      <c r="B22" s="2" t="s">
        <v>121</v>
      </c>
      <c r="C22" s="2" t="s">
        <v>122</v>
      </c>
      <c r="D22" s="2" t="s">
        <v>123</v>
      </c>
      <c r="E22" s="2" t="s">
        <v>122</v>
      </c>
      <c r="F22" s="4">
        <v>28899.0</v>
      </c>
      <c r="G22" s="2" t="s">
        <v>124</v>
      </c>
      <c r="H22" s="2" t="s">
        <v>17</v>
      </c>
      <c r="I22" s="2" t="s">
        <v>33</v>
      </c>
      <c r="L22" s="2" t="s">
        <v>125</v>
      </c>
      <c r="M22" s="2" t="s">
        <v>20</v>
      </c>
    </row>
    <row r="23">
      <c r="A23" s="3">
        <v>46087.674849537034</v>
      </c>
      <c r="B23" s="2" t="s">
        <v>126</v>
      </c>
      <c r="C23" s="2" t="s">
        <v>127</v>
      </c>
      <c r="D23" s="2" t="s">
        <v>128</v>
      </c>
      <c r="E23" s="2" t="s">
        <v>127</v>
      </c>
      <c r="F23" s="4">
        <v>25075.0</v>
      </c>
      <c r="G23" s="2" t="s">
        <v>129</v>
      </c>
      <c r="H23" s="2" t="s">
        <v>17</v>
      </c>
      <c r="I23" s="2" t="s">
        <v>33</v>
      </c>
      <c r="L23" s="2" t="s">
        <v>130</v>
      </c>
      <c r="M23" s="2" t="s">
        <v>20</v>
      </c>
    </row>
    <row r="24">
      <c r="A24" s="3">
        <v>46087.75671296296</v>
      </c>
      <c r="B24" s="2" t="s">
        <v>131</v>
      </c>
      <c r="C24" s="2" t="s">
        <v>132</v>
      </c>
      <c r="D24" s="2" t="s">
        <v>133</v>
      </c>
      <c r="E24" s="2" t="s">
        <v>132</v>
      </c>
      <c r="F24" s="5">
        <v>28454.0</v>
      </c>
      <c r="G24" s="2" t="s">
        <v>134</v>
      </c>
      <c r="H24" s="2" t="s">
        <v>17</v>
      </c>
      <c r="I24" s="2" t="s">
        <v>33</v>
      </c>
      <c r="L24" s="2" t="s">
        <v>135</v>
      </c>
      <c r="M24" s="2" t="s">
        <v>20</v>
      </c>
    </row>
    <row r="25">
      <c r="A25" s="3">
        <v>46087.787465277775</v>
      </c>
      <c r="B25" s="2" t="s">
        <v>111</v>
      </c>
      <c r="C25" s="2" t="s">
        <v>112</v>
      </c>
      <c r="D25" s="2" t="s">
        <v>113</v>
      </c>
      <c r="E25" s="2" t="s">
        <v>112</v>
      </c>
      <c r="F25" s="4">
        <v>29016.0</v>
      </c>
      <c r="G25" s="2" t="s">
        <v>114</v>
      </c>
      <c r="H25" s="2" t="s">
        <v>17</v>
      </c>
      <c r="I25" s="2" t="s">
        <v>33</v>
      </c>
      <c r="L25" s="2" t="s">
        <v>136</v>
      </c>
      <c r="M25" s="2" t="s">
        <v>20</v>
      </c>
    </row>
    <row r="26">
      <c r="A26" s="3">
        <v>46090.43503472222</v>
      </c>
      <c r="B26" s="2" t="s">
        <v>137</v>
      </c>
      <c r="C26" s="2" t="s">
        <v>138</v>
      </c>
      <c r="D26" s="2" t="s">
        <v>139</v>
      </c>
      <c r="E26" s="2" t="s">
        <v>138</v>
      </c>
      <c r="F26" s="5">
        <v>31391.0</v>
      </c>
      <c r="G26" s="2" t="s">
        <v>140</v>
      </c>
      <c r="H26" s="2" t="s">
        <v>17</v>
      </c>
      <c r="I26" s="2" t="s">
        <v>33</v>
      </c>
      <c r="L26" s="2" t="s">
        <v>141</v>
      </c>
      <c r="M26" s="2" t="s">
        <v>20</v>
      </c>
    </row>
    <row r="27">
      <c r="A27" s="3">
        <v>46090.62688657407</v>
      </c>
      <c r="B27" s="2" t="s">
        <v>142</v>
      </c>
      <c r="C27" s="2" t="s">
        <v>143</v>
      </c>
      <c r="D27" s="2" t="s">
        <v>144</v>
      </c>
      <c r="E27" s="2" t="s">
        <v>143</v>
      </c>
      <c r="F27" s="4">
        <v>29332.0</v>
      </c>
      <c r="G27" s="2" t="s">
        <v>145</v>
      </c>
      <c r="H27" s="2" t="s">
        <v>17</v>
      </c>
      <c r="I27" s="2" t="s">
        <v>18</v>
      </c>
      <c r="J27" s="2" t="s">
        <v>146</v>
      </c>
      <c r="M27" s="2" t="s">
        <v>20</v>
      </c>
    </row>
    <row r="28">
      <c r="A28" s="3">
        <v>46090.933391203704</v>
      </c>
      <c r="B28" s="2" t="s">
        <v>147</v>
      </c>
      <c r="C28" s="2" t="s">
        <v>148</v>
      </c>
      <c r="D28" s="2" t="s">
        <v>149</v>
      </c>
      <c r="E28" s="2" t="s">
        <v>148</v>
      </c>
      <c r="F28" s="5">
        <v>30631.0</v>
      </c>
      <c r="G28" s="2" t="s">
        <v>150</v>
      </c>
      <c r="H28" s="2" t="s">
        <v>25</v>
      </c>
      <c r="I28" s="2" t="s">
        <v>18</v>
      </c>
      <c r="J28" s="2" t="s">
        <v>151</v>
      </c>
      <c r="K28" s="2" t="s">
        <v>152</v>
      </c>
      <c r="M28" s="2" t="s">
        <v>20</v>
      </c>
    </row>
    <row r="29">
      <c r="A29" s="3">
        <v>46091.71431712963</v>
      </c>
      <c r="B29" s="2" t="s">
        <v>153</v>
      </c>
      <c r="C29" s="2" t="s">
        <v>154</v>
      </c>
      <c r="D29" s="2" t="s">
        <v>155</v>
      </c>
      <c r="E29" s="2" t="s">
        <v>154</v>
      </c>
      <c r="F29" s="4">
        <v>32775.0</v>
      </c>
      <c r="G29" s="2" t="s">
        <v>156</v>
      </c>
      <c r="H29" s="2" t="s">
        <v>157</v>
      </c>
      <c r="I29" s="2" t="s">
        <v>18</v>
      </c>
      <c r="J29" s="2" t="s">
        <v>158</v>
      </c>
      <c r="M29" s="2" t="s">
        <v>20</v>
      </c>
    </row>
    <row r="30">
      <c r="A30" s="3">
        <v>46091.71931712963</v>
      </c>
      <c r="B30" s="2" t="s">
        <v>159</v>
      </c>
      <c r="C30" s="2" t="s">
        <v>160</v>
      </c>
      <c r="D30" s="2" t="s">
        <v>161</v>
      </c>
      <c r="E30" s="2" t="s">
        <v>160</v>
      </c>
      <c r="F30" s="4">
        <v>32231.0</v>
      </c>
      <c r="G30" s="2" t="s">
        <v>162</v>
      </c>
      <c r="H30" s="2" t="s">
        <v>157</v>
      </c>
      <c r="I30" s="2" t="s">
        <v>33</v>
      </c>
      <c r="L30" s="2" t="s">
        <v>34</v>
      </c>
      <c r="M30" s="2" t="s">
        <v>20</v>
      </c>
    </row>
    <row r="31">
      <c r="A31" s="3">
        <v>46093.51798611111</v>
      </c>
      <c r="B31" s="2" t="s">
        <v>163</v>
      </c>
      <c r="C31" s="2" t="s">
        <v>164</v>
      </c>
      <c r="D31" s="2" t="s">
        <v>165</v>
      </c>
      <c r="E31" s="2" t="s">
        <v>164</v>
      </c>
      <c r="F31" s="4">
        <v>33990.0</v>
      </c>
      <c r="G31" s="2" t="s">
        <v>166</v>
      </c>
      <c r="H31" s="2" t="s">
        <v>39</v>
      </c>
      <c r="I31" s="2" t="s">
        <v>33</v>
      </c>
      <c r="L31" s="2" t="s">
        <v>167</v>
      </c>
      <c r="M31" s="2" t="s">
        <v>20</v>
      </c>
    </row>
    <row r="32">
      <c r="A32" s="3">
        <v>46093.62079861111</v>
      </c>
      <c r="B32" s="2" t="s">
        <v>168</v>
      </c>
      <c r="C32" s="2" t="s">
        <v>169</v>
      </c>
      <c r="D32" s="2" t="s">
        <v>170</v>
      </c>
      <c r="E32" s="2" t="s">
        <v>169</v>
      </c>
      <c r="F32" s="4">
        <v>28564.0</v>
      </c>
      <c r="G32" s="2" t="s">
        <v>171</v>
      </c>
      <c r="H32" s="2" t="s">
        <v>157</v>
      </c>
      <c r="I32" s="2" t="s">
        <v>18</v>
      </c>
      <c r="J32" s="2" t="s">
        <v>172</v>
      </c>
      <c r="M32" s="2" t="s">
        <v>20</v>
      </c>
    </row>
    <row r="33">
      <c r="A33" s="3">
        <v>46094.69734953704</v>
      </c>
      <c r="B33" s="2" t="s">
        <v>173</v>
      </c>
      <c r="C33" s="2" t="s">
        <v>174</v>
      </c>
      <c r="D33" s="2" t="s">
        <v>175</v>
      </c>
      <c r="E33" s="2" t="s">
        <v>174</v>
      </c>
      <c r="F33" s="4">
        <v>33399.0</v>
      </c>
      <c r="G33" s="2" t="s">
        <v>176</v>
      </c>
      <c r="H33" s="2" t="s">
        <v>177</v>
      </c>
      <c r="I33" s="2" t="s">
        <v>18</v>
      </c>
      <c r="J33" s="2" t="s">
        <v>178</v>
      </c>
      <c r="M33" s="2" t="s">
        <v>20</v>
      </c>
    </row>
    <row r="34">
      <c r="A34" s="3">
        <v>46097.48097222222</v>
      </c>
      <c r="B34" s="2" t="s">
        <v>179</v>
      </c>
      <c r="C34" s="2" t="s">
        <v>180</v>
      </c>
      <c r="D34" s="2" t="s">
        <v>181</v>
      </c>
      <c r="E34" s="2" t="s">
        <v>180</v>
      </c>
      <c r="F34" s="4">
        <v>29393.0</v>
      </c>
      <c r="G34" s="2" t="s">
        <v>182</v>
      </c>
      <c r="H34" s="2" t="s">
        <v>177</v>
      </c>
      <c r="I34" s="2" t="s">
        <v>33</v>
      </c>
      <c r="L34" s="2" t="s">
        <v>183</v>
      </c>
      <c r="M34" s="2" t="s">
        <v>20</v>
      </c>
    </row>
    <row r="35">
      <c r="A35" s="3">
        <v>46098.62228009259</v>
      </c>
      <c r="B35" s="2" t="s">
        <v>184</v>
      </c>
      <c r="C35" s="2" t="s">
        <v>185</v>
      </c>
      <c r="D35" s="2" t="s">
        <v>186</v>
      </c>
      <c r="E35" s="2" t="s">
        <v>185</v>
      </c>
      <c r="F35" s="4">
        <v>36055.0</v>
      </c>
      <c r="G35" s="2" t="s">
        <v>187</v>
      </c>
      <c r="H35" s="2" t="s">
        <v>177</v>
      </c>
      <c r="I35" s="2" t="s">
        <v>18</v>
      </c>
      <c r="J35" s="2" t="s">
        <v>188</v>
      </c>
      <c r="M35" s="2" t="s">
        <v>20</v>
      </c>
    </row>
    <row r="36">
      <c r="A36" s="3">
        <v>46098.61516203704</v>
      </c>
      <c r="B36" s="2" t="s">
        <v>189</v>
      </c>
      <c r="C36" s="2" t="s">
        <v>190</v>
      </c>
      <c r="D36" s="2" t="s">
        <v>191</v>
      </c>
      <c r="E36" s="2" t="s">
        <v>190</v>
      </c>
      <c r="F36" s="4">
        <v>25252.0</v>
      </c>
      <c r="G36" s="2" t="s">
        <v>192</v>
      </c>
      <c r="H36" s="2" t="s">
        <v>177</v>
      </c>
      <c r="I36" s="2" t="s">
        <v>33</v>
      </c>
      <c r="L36" s="2" t="s">
        <v>34</v>
      </c>
      <c r="M36" s="2" t="s">
        <v>20</v>
      </c>
    </row>
    <row r="37">
      <c r="A37" s="3">
        <v>46098.734976851854</v>
      </c>
      <c r="B37" s="2" t="s">
        <v>193</v>
      </c>
      <c r="C37" s="2" t="s">
        <v>194</v>
      </c>
      <c r="D37" s="2" t="s">
        <v>195</v>
      </c>
      <c r="E37" s="2" t="s">
        <v>194</v>
      </c>
      <c r="F37" s="5">
        <v>36116.0</v>
      </c>
      <c r="G37" s="2" t="s">
        <v>196</v>
      </c>
      <c r="H37" s="2" t="s">
        <v>17</v>
      </c>
      <c r="I37" s="2" t="s">
        <v>33</v>
      </c>
      <c r="L37" s="2" t="s">
        <v>197</v>
      </c>
      <c r="M37" s="2" t="s">
        <v>20</v>
      </c>
    </row>
    <row r="38">
      <c r="A38" s="3">
        <v>46099.415625</v>
      </c>
      <c r="B38" s="2" t="s">
        <v>198</v>
      </c>
      <c r="C38" s="2" t="s">
        <v>199</v>
      </c>
      <c r="D38" s="2" t="s">
        <v>200</v>
      </c>
      <c r="E38" s="2" t="s">
        <v>199</v>
      </c>
      <c r="F38" s="4">
        <v>28284.0</v>
      </c>
      <c r="G38" s="2" t="s">
        <v>201</v>
      </c>
      <c r="H38" s="2" t="s">
        <v>45</v>
      </c>
      <c r="I38" s="2" t="s">
        <v>18</v>
      </c>
      <c r="J38" s="2" t="s">
        <v>202</v>
      </c>
      <c r="K38" s="2" t="s">
        <v>203</v>
      </c>
      <c r="M38" s="2" t="s">
        <v>20</v>
      </c>
    </row>
    <row r="39">
      <c r="A39" s="3">
        <v>46099.51918981481</v>
      </c>
      <c r="B39" s="2" t="s">
        <v>204</v>
      </c>
      <c r="C39" s="2" t="s">
        <v>122</v>
      </c>
      <c r="D39" s="2" t="s">
        <v>205</v>
      </c>
      <c r="E39" s="2" t="s">
        <v>122</v>
      </c>
      <c r="F39" s="4">
        <v>24591.0</v>
      </c>
      <c r="G39" s="2" t="s">
        <v>206</v>
      </c>
      <c r="H39" s="2" t="s">
        <v>17</v>
      </c>
      <c r="I39" s="2" t="s">
        <v>33</v>
      </c>
      <c r="L39" s="2" t="s">
        <v>207</v>
      </c>
      <c r="M39" s="2" t="s">
        <v>20</v>
      </c>
    </row>
    <row r="40">
      <c r="A40" s="3">
        <v>46099.743125</v>
      </c>
      <c r="B40" s="2" t="s">
        <v>208</v>
      </c>
      <c r="C40" s="2" t="s">
        <v>209</v>
      </c>
      <c r="D40" s="2" t="s">
        <v>210</v>
      </c>
      <c r="E40" s="2" t="s">
        <v>209</v>
      </c>
      <c r="F40" s="4">
        <v>25796.0</v>
      </c>
      <c r="G40" s="2" t="s">
        <v>211</v>
      </c>
      <c r="H40" s="2" t="s">
        <v>17</v>
      </c>
      <c r="I40" s="2" t="s">
        <v>33</v>
      </c>
      <c r="L40" s="2" t="s">
        <v>212</v>
      </c>
      <c r="M40" s="2" t="s">
        <v>20</v>
      </c>
    </row>
    <row r="41">
      <c r="A41" s="3">
        <v>46099.813564814816</v>
      </c>
      <c r="B41" s="2" t="s">
        <v>213</v>
      </c>
      <c r="C41" s="2" t="s">
        <v>214</v>
      </c>
      <c r="D41" s="2" t="s">
        <v>215</v>
      </c>
      <c r="E41" s="2" t="s">
        <v>214</v>
      </c>
      <c r="F41" s="4">
        <v>30107.0</v>
      </c>
      <c r="G41" s="2" t="s">
        <v>216</v>
      </c>
      <c r="H41" s="2" t="s">
        <v>17</v>
      </c>
      <c r="I41" s="2" t="s">
        <v>33</v>
      </c>
      <c r="L41" s="2" t="s">
        <v>217</v>
      </c>
      <c r="M41" s="2" t="s">
        <v>20</v>
      </c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