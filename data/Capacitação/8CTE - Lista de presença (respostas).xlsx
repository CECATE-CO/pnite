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  <sheet state="visible" name="Emissão de certificado" sheetId="2" r:id="rId6"/>
    <sheet state="visible" name="Página1" sheetId="3" r:id="rId7"/>
  </sheets>
  <definedNames>
    <definedName hidden="1" localSheetId="1" name="_xlnm._FilterDatabase">'Emissão de certificado'!$A$1:$F$57</definedName>
    <definedName hidden="1" localSheetId="2" name="_xlnm._FilterDatabase">'Página1'!$A$1:$L$59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5">
      <text>
        <t xml:space="preserve">O respondente atualizou este valor.</t>
      </text>
    </comment>
    <comment authorId="0" ref="I5">
      <text>
        <t xml:space="preserve">O respondente atualizou este valor.</t>
      </text>
    </comment>
  </commentList>
</comments>
</file>

<file path=xl/sharedStrings.xml><?xml version="1.0" encoding="utf-8"?>
<sst xmlns="http://schemas.openxmlformats.org/spreadsheetml/2006/main" count="738" uniqueCount="423">
  <si>
    <t>Carimbo de data/hora</t>
  </si>
  <si>
    <t>Endereço de e-mail</t>
  </si>
  <si>
    <t>Nome Completo:</t>
  </si>
  <si>
    <t>CPF:  XXX.XXX.XXX-XX</t>
  </si>
  <si>
    <t>Você já está inscrito no Curso de Capacitação em Transporte Escolar?</t>
  </si>
  <si>
    <t>Data de Nascimento</t>
  </si>
  <si>
    <r>
      <rPr>
        <rFont val="Arial"/>
        <b/>
        <color theme="1"/>
      </rPr>
      <t xml:space="preserve">Telefone </t>
    </r>
    <r>
      <rPr>
        <rFont val="Arial"/>
        <color theme="1"/>
      </rPr>
      <t>(XX)XXXXX-XXXX</t>
    </r>
  </si>
  <si>
    <t>Município que representa:</t>
  </si>
  <si>
    <t>Você faz parte do:</t>
  </si>
  <si>
    <t>Que cargo você ocupa na gestão municipal?</t>
  </si>
  <si>
    <t>Prezado(a) Gestor(a), 
Se existe algum caso de sucesso da gestão do transporte escolar no seu município, gostaríamos conhecer mais um pouco ao respeito.
Por favor, relate de forma sucinta o caso de sucesso no espaço a seguir:</t>
  </si>
  <si>
    <t>Que cargo você ocupa no CACS-FUNDEB?</t>
  </si>
  <si>
    <t>Telefone: (DD)XXXXX-XXXX</t>
  </si>
  <si>
    <t>####</t>
  </si>
  <si>
    <t>Data de Nascimento 2</t>
  </si>
  <si>
    <t>Telefone (XX)XXXXX-XXXX 2</t>
  </si>
  <si>
    <t>Município que representa: 2</t>
  </si>
  <si>
    <t>Você faz parte do: 2</t>
  </si>
  <si>
    <t>aldenimachado2@gmail.com</t>
  </si>
  <si>
    <t>Aldeni Morais Machado santana</t>
  </si>
  <si>
    <t>042.871.251-77</t>
  </si>
  <si>
    <t>Sim</t>
  </si>
  <si>
    <t>(66)99931-4023</t>
  </si>
  <si>
    <t>anaclaudiadalmolin1@gmail.com</t>
  </si>
  <si>
    <t xml:space="preserve">Ana Claudia Dalmolin </t>
  </si>
  <si>
    <t>039.487.011-56</t>
  </si>
  <si>
    <t>(66)99660-6600</t>
  </si>
  <si>
    <t>anaclaudiagermano26@gmail.com</t>
  </si>
  <si>
    <t xml:space="preserve">Ana Claudia Germano Alves </t>
  </si>
  <si>
    <t>047.152.811-04</t>
  </si>
  <si>
    <t>cristinabryan140@gmail.com</t>
  </si>
  <si>
    <t xml:space="preserve">Ana Cristina Silva valente </t>
  </si>
  <si>
    <t>011.159.092-23</t>
  </si>
  <si>
    <t>pereiraanaesther184@gmail.com</t>
  </si>
  <si>
    <t xml:space="preserve">ANA ESTHER PEREIRA MENDONÇA </t>
  </si>
  <si>
    <t>110.018.751-09</t>
  </si>
  <si>
    <t>Não</t>
  </si>
  <si>
    <t>(66)99256-8735</t>
  </si>
  <si>
    <t>Guarantã do Norte</t>
  </si>
  <si>
    <t xml:space="preserve">Gestão municipal </t>
  </si>
  <si>
    <t>Técnica de sistemas</t>
  </si>
  <si>
    <t>anapaulatavarescamara@hotmail.com</t>
  </si>
  <si>
    <t xml:space="preserve">Ana Paula Tavares da Câmara Canguçu </t>
  </si>
  <si>
    <t>031.269.751-19</t>
  </si>
  <si>
    <t>(66)99724-7789</t>
  </si>
  <si>
    <t>andreikrasowski3@gmail.com</t>
  </si>
  <si>
    <t xml:space="preserve">Andrei de Jesus krasowski </t>
  </si>
  <si>
    <t>054.353.841-92</t>
  </si>
  <si>
    <t>(66)99716-0375</t>
  </si>
  <si>
    <t>romancamili91@gmail.com</t>
  </si>
  <si>
    <t>Camili Roman Gomes</t>
  </si>
  <si>
    <t>062.818.251-10</t>
  </si>
  <si>
    <t>(65)99223-4880</t>
  </si>
  <si>
    <t>carlim.albsilva@gmail.com</t>
  </si>
  <si>
    <t xml:space="preserve">Carlos Alberto Silva </t>
  </si>
  <si>
    <t>032.805.231-09</t>
  </si>
  <si>
    <t>catheachapla@gmail.com</t>
  </si>
  <si>
    <t>Cathea chapla</t>
  </si>
  <si>
    <t>019.896.331-96</t>
  </si>
  <si>
    <t>celia_ometto@hotmail.com</t>
  </si>
  <si>
    <t xml:space="preserve">Célia  Pereira Bueno da Silva </t>
  </si>
  <si>
    <t>001.549.211-73</t>
  </si>
  <si>
    <t>(66)99613-2253</t>
  </si>
  <si>
    <t xml:space="preserve">Matupá </t>
  </si>
  <si>
    <t>Gestão Municipal</t>
  </si>
  <si>
    <t>Secretaria  Adjunta</t>
  </si>
  <si>
    <t>claudimiro.freitas@edu.mt.gov.br</t>
  </si>
  <si>
    <t xml:space="preserve">Claudimiro Neves de Freitas </t>
  </si>
  <si>
    <t>021.934.271-78</t>
  </si>
  <si>
    <t>(66)99997-2630</t>
  </si>
  <si>
    <t>cleuseteulsenheimer@gmail.com</t>
  </si>
  <si>
    <t>Cleusete Aparecida Ulsenheimer</t>
  </si>
  <si>
    <t>756.971.499-72</t>
  </si>
  <si>
    <t>(66)98420-5653</t>
  </si>
  <si>
    <t>ITANHANGÁ</t>
  </si>
  <si>
    <t>Gestão municipal</t>
  </si>
  <si>
    <t xml:space="preserve">Assessora Pedagógica </t>
  </si>
  <si>
    <t>daianar775@gmail.com</t>
  </si>
  <si>
    <t xml:space="preserve">Daiana Ribeiro Reis Barbosa </t>
  </si>
  <si>
    <t>058.310.541-60</t>
  </si>
  <si>
    <t>debora_ge11@hotmail.com</t>
  </si>
  <si>
    <t xml:space="preserve">Débora Gonçalves Lopes Nogueira </t>
  </si>
  <si>
    <t>038.659.701-41</t>
  </si>
  <si>
    <t>(66)99979-9337</t>
  </si>
  <si>
    <t>deibsoncampos@hotmail.com</t>
  </si>
  <si>
    <t>Deibson Clei de Campos</t>
  </si>
  <si>
    <t>000.733.161-48</t>
  </si>
  <si>
    <t>dbdalazen@gmail.com</t>
  </si>
  <si>
    <t xml:space="preserve">Denise Bortolozzo Dalazen </t>
  </si>
  <si>
    <t>534.183.109-82</t>
  </si>
  <si>
    <t>(66)99292-5879</t>
  </si>
  <si>
    <t>dianbattisti@hotmail.com</t>
  </si>
  <si>
    <t xml:space="preserve">Dian Carla Battisti Pit </t>
  </si>
  <si>
    <t>031.367.381-01</t>
  </si>
  <si>
    <t>dorivalgomesmot17@gmail.com</t>
  </si>
  <si>
    <t xml:space="preserve">Dorival Gomes de Souza </t>
  </si>
  <si>
    <t>925.508.511-53</t>
  </si>
  <si>
    <t>dulcisec@gmail.com</t>
  </si>
  <si>
    <t xml:space="preserve">Dulcineia MATHIAS CABRAL </t>
  </si>
  <si>
    <t>023.068.921-30</t>
  </si>
  <si>
    <t>edelsonsousa_@hotmail.com</t>
  </si>
  <si>
    <t>Edelson manoel de sousa</t>
  </si>
  <si>
    <t>299.445.031-34</t>
  </si>
  <si>
    <t>(66)99665-9475</t>
  </si>
  <si>
    <t>NOVA GUARITA</t>
  </si>
  <si>
    <t>Motorista e responsável pela frota escolar</t>
  </si>
  <si>
    <t xml:space="preserve">Edelson manoel de sousa </t>
  </si>
  <si>
    <t>ricardo.felipeom@gmail.com</t>
  </si>
  <si>
    <t xml:space="preserve">Felipe Ricardo de Oliveira Morais </t>
  </si>
  <si>
    <t>061.514.082-33</t>
  </si>
  <si>
    <t>flavia.lopes@edu.colider.mt.gov.br</t>
  </si>
  <si>
    <t xml:space="preserve">Flávia Corrêa da Silveira Lopes </t>
  </si>
  <si>
    <t>963.391.101-00</t>
  </si>
  <si>
    <t>sme.transporteescolarsinop@gmail.com</t>
  </si>
  <si>
    <t>Francieli Maria Hammes</t>
  </si>
  <si>
    <t>042.524.451-24</t>
  </si>
  <si>
    <t>(66)99914-1672</t>
  </si>
  <si>
    <t>Sinop</t>
  </si>
  <si>
    <t>Analista administrativo</t>
  </si>
  <si>
    <t>gisellifujimori@gmail.com</t>
  </si>
  <si>
    <t>Giselli Satiko Toyomoto Fujimori</t>
  </si>
  <si>
    <t>064.633.091-84</t>
  </si>
  <si>
    <t>(66)99221-0876</t>
  </si>
  <si>
    <t>matosjarlene5@gmail.com</t>
  </si>
  <si>
    <t xml:space="preserve">Jarlene maria silva matos </t>
  </si>
  <si>
    <t>049.578.646-97</t>
  </si>
  <si>
    <t>(66)99966-6774</t>
  </si>
  <si>
    <t>Peixoto de azevedo</t>
  </si>
  <si>
    <t>técnico do transporte escolar</t>
  </si>
  <si>
    <t>jeffersonmarcolinii@hotmail.com</t>
  </si>
  <si>
    <t xml:space="preserve">Jefferson Henkes Marcolini </t>
  </si>
  <si>
    <t>039.855.061-16</t>
  </si>
  <si>
    <t>(66)99624-2997</t>
  </si>
  <si>
    <t>joaomarquesdacosta25@gmail.com</t>
  </si>
  <si>
    <t xml:space="preserve">João Marques da Costa </t>
  </si>
  <si>
    <t>403.447.891-87</t>
  </si>
  <si>
    <t>(66)99662-4168</t>
  </si>
  <si>
    <t>julianamazei@hotmail.com</t>
  </si>
  <si>
    <t xml:space="preserve">Juliana Mazei Silva </t>
  </si>
  <si>
    <t>021.159.381-86</t>
  </si>
  <si>
    <t>(66)999513-1479</t>
  </si>
  <si>
    <t xml:space="preserve">Feliz Natal </t>
  </si>
  <si>
    <t>Secretária de Educação</t>
  </si>
  <si>
    <t>kamilareislima@hotmail.com</t>
  </si>
  <si>
    <t>Kamila De Almeida Reis</t>
  </si>
  <si>
    <t>718.028.431-91</t>
  </si>
  <si>
    <t>karinabarros772@gmail.com</t>
  </si>
  <si>
    <t>KARINA RITA DE BARROS</t>
  </si>
  <si>
    <t>062.569.491-02</t>
  </si>
  <si>
    <t>katia_nervis@hotmail.com</t>
  </si>
  <si>
    <t>Katia nervis guedes</t>
  </si>
  <si>
    <t>059.504.181-74</t>
  </si>
  <si>
    <t xml:space="preserve">Katia nervis guedes </t>
  </si>
  <si>
    <t>lilianclaudia77@gmail.com</t>
  </si>
  <si>
    <t>Lilian Cláudia Pereira de Oliveira</t>
  </si>
  <si>
    <t>036.728.641-61</t>
  </si>
  <si>
    <t>(66)99641-2813</t>
  </si>
  <si>
    <t>liliqnclaudia77@gmail.com</t>
  </si>
  <si>
    <t xml:space="preserve">Lilian Claudia Pereira de Oliveira </t>
  </si>
  <si>
    <t>onolisayuri@hotmail.com</t>
  </si>
  <si>
    <t xml:space="preserve">Lilian Sayuri Ono </t>
  </si>
  <si>
    <t>830.654.741-15</t>
  </si>
  <si>
    <t>lilianekovaleski_fn@hotmail.com</t>
  </si>
  <si>
    <t xml:space="preserve">LILIANE KOVALESKI DEVETAK </t>
  </si>
  <si>
    <t>003.644.911-32</t>
  </si>
  <si>
    <t>lucivanimarangoniperuzzo@yahoo.com.brl</t>
  </si>
  <si>
    <t xml:space="preserve">Lucivani Marangoni Peruzzo </t>
  </si>
  <si>
    <t>031.834.809-80</t>
  </si>
  <si>
    <t>(66)99205-3703</t>
  </si>
  <si>
    <t>marcelo.gemeos@outlook.com</t>
  </si>
  <si>
    <t xml:space="preserve">Marcelo vacaro de Aquino </t>
  </si>
  <si>
    <t>972.706.101-00</t>
  </si>
  <si>
    <t>bia.lopes.magalhaes.morais@gmail.com</t>
  </si>
  <si>
    <t xml:space="preserve">Maria Beatriz de Magalhães Morais </t>
  </si>
  <si>
    <t>952.593.411-04</t>
  </si>
  <si>
    <t>(65)99225-6693</t>
  </si>
  <si>
    <t>neussaniasolvaoliveiraso@gmail.com</t>
  </si>
  <si>
    <t xml:space="preserve">Neussania Silva de Oliveira </t>
  </si>
  <si>
    <t>818.354.421-53</t>
  </si>
  <si>
    <t>neu_caf@hotmail.com</t>
  </si>
  <si>
    <t xml:space="preserve">Neuzira Rosa de Brito </t>
  </si>
  <si>
    <t>848.226.941-00</t>
  </si>
  <si>
    <t>noadir.funez@edu.mt.gov.br</t>
  </si>
  <si>
    <t>Noadir Josenira Tedesco Funez</t>
  </si>
  <si>
    <t>768.855.349-00</t>
  </si>
  <si>
    <t>tynelsantos@gmail.com</t>
  </si>
  <si>
    <t xml:space="preserve">Oteniel de Jesus Santos </t>
  </si>
  <si>
    <t>740.979.112-87</t>
  </si>
  <si>
    <t>(66)99202-8229</t>
  </si>
  <si>
    <t>pauloslped@hotmail.com</t>
  </si>
  <si>
    <t xml:space="preserve">Paulo Sérgio leite </t>
  </si>
  <si>
    <t>655.744.511-15</t>
  </si>
  <si>
    <t>(66)99999-0901</t>
  </si>
  <si>
    <t>ramilha_silva@hotmail.com</t>
  </si>
  <si>
    <t>Ramilha Rayane Bittencourt Silva</t>
  </si>
  <si>
    <t>047.708.131-20</t>
  </si>
  <si>
    <t>ricardomartello@outlook.com</t>
  </si>
  <si>
    <t xml:space="preserve">Ricardo Martello de Oliveira Ferro </t>
  </si>
  <si>
    <t>880.581.311-72</t>
  </si>
  <si>
    <t>(65)99669-0433</t>
  </si>
  <si>
    <t>São José do Rio Claro</t>
  </si>
  <si>
    <t>encarregado transporte escolar</t>
  </si>
  <si>
    <t>rosangelatricolman@gmail.com</t>
  </si>
  <si>
    <t xml:space="preserve">Rosangela Triburtino Colman Barbiero </t>
  </si>
  <si>
    <t>019.191.411-89</t>
  </si>
  <si>
    <t>rosiane.lima@edu.mt.gov.br</t>
  </si>
  <si>
    <t>Rosiane Apararecida Pereira de Lima</t>
  </si>
  <si>
    <t>048.622.131-89</t>
  </si>
  <si>
    <t>(66)99248-5664</t>
  </si>
  <si>
    <t>rosieiredevianavitor@gmail.com</t>
  </si>
  <si>
    <t xml:space="preserve">Rosie Irede Viana Vitor </t>
  </si>
  <si>
    <t>928.811.491-20</t>
  </si>
  <si>
    <t>(66)99662-5421</t>
  </si>
  <si>
    <t>sandrabelussocasagrande@gmail.com</t>
  </si>
  <si>
    <t xml:space="preserve">Sandra Belusso Casagrande </t>
  </si>
  <si>
    <t>933.784.590-34</t>
  </si>
  <si>
    <t>(66)99969-8914</t>
  </si>
  <si>
    <t>mony.fer@hotmail.com</t>
  </si>
  <si>
    <t xml:space="preserve">Simony Fernanda Fontana Palenschi </t>
  </si>
  <si>
    <t>016.236.381-86</t>
  </si>
  <si>
    <t>henrique.thiagoom@gmail.com</t>
  </si>
  <si>
    <t xml:space="preserve">Thiago Henrique de Oliveira Morais </t>
  </si>
  <si>
    <t>061.513.942-67</t>
  </si>
  <si>
    <t>chambo_@hotmail.com</t>
  </si>
  <si>
    <t xml:space="preserve">Vânia Conceição de Souza Chambo </t>
  </si>
  <si>
    <t>915.060.421-04</t>
  </si>
  <si>
    <t>(66)99956-2229</t>
  </si>
  <si>
    <t>veruskagoncalves@hotmail.com</t>
  </si>
  <si>
    <t>592.558.971-87</t>
  </si>
  <si>
    <t>(66)99906-1722</t>
  </si>
  <si>
    <t>CPF</t>
  </si>
  <si>
    <t>Nome</t>
  </si>
  <si>
    <t>E-mail</t>
  </si>
  <si>
    <t>Data</t>
  </si>
  <si>
    <t>Cidade</t>
  </si>
  <si>
    <t>Função</t>
  </si>
  <si>
    <t>Telefone (XX)XXXXX-XXXX</t>
  </si>
  <si>
    <t>Coluna 11</t>
  </si>
  <si>
    <t>marinaldo_bio@hotmail.com</t>
  </si>
  <si>
    <t>MARINALDO BATISTA SILVA</t>
  </si>
  <si>
    <t>631.914.661-34</t>
  </si>
  <si>
    <t>(66)99663-1117</t>
  </si>
  <si>
    <t>SANTA CARMEM</t>
  </si>
  <si>
    <t>CACS-FUNDEB</t>
  </si>
  <si>
    <t>PRESIDENTE</t>
  </si>
  <si>
    <t>LILIANE KOVALESKI DEVETAK</t>
  </si>
  <si>
    <t>(66)99959-7479</t>
  </si>
  <si>
    <t>FELIZ NATAL</t>
  </si>
  <si>
    <t>MEMBRO</t>
  </si>
  <si>
    <t>(66)99630-2479</t>
  </si>
  <si>
    <t xml:space="preserve">Presidente </t>
  </si>
  <si>
    <t>irafsilva@hotmail.com</t>
  </si>
  <si>
    <t>Iracema de Fatima da Silva</t>
  </si>
  <si>
    <t>435.059.379-91</t>
  </si>
  <si>
    <t>(66)99684-9622</t>
  </si>
  <si>
    <t>tecnica</t>
  </si>
  <si>
    <t>membro</t>
  </si>
  <si>
    <t>(66)99256-4288</t>
  </si>
  <si>
    <t>MATUPÁ</t>
  </si>
  <si>
    <t>supervisora do transporte escolar</t>
  </si>
  <si>
    <t>o nosso sucesso e estar atingindo o numero da nossa frota todos os veiculos com ar-condicionado, sendo que todos e frota própria.</t>
  </si>
  <si>
    <t>Daiana Ribeiro Reis Barbosa</t>
  </si>
  <si>
    <t>(66)99622-4787</t>
  </si>
  <si>
    <t xml:space="preserve">Coordenador de departamento </t>
  </si>
  <si>
    <t>lucivanimarangoniperuzzo@yahoo.com.br</t>
  </si>
  <si>
    <t>Lucivani Marangoni Peruzzo</t>
  </si>
  <si>
    <t>UNIÃO DO SUL</t>
  </si>
  <si>
    <t>Gestão do Transcolar</t>
  </si>
  <si>
    <t xml:space="preserve">Em parceria com os motoristas do transporte escolar, gestão, direção, coordenação, secretaria escolar, pais de alunos conseguimos georreferenciar 100% dos alunos. </t>
  </si>
  <si>
    <t>DIAN CARLA BATTISTI PIT</t>
  </si>
  <si>
    <t>(66)98433-1211</t>
  </si>
  <si>
    <t>Assistente Administrativo e técnica educacional</t>
  </si>
  <si>
    <t>Rosiane Aparecida Pereira de Lima</t>
  </si>
  <si>
    <t>Presidente do Conselho CASC-FUNDEB</t>
  </si>
  <si>
    <t>VANIA CONCEIÇÃO DE SOUZA CHAMBO</t>
  </si>
  <si>
    <t>PEIXOTO DE AZEVEDO</t>
  </si>
  <si>
    <t>Debora Goncalves Lopes Nogueira</t>
  </si>
  <si>
    <t>Representante do poder executivo municipal</t>
  </si>
  <si>
    <t>ROSIE IREDE VIANA VITOR</t>
  </si>
  <si>
    <t xml:space="preserve">TÉCNICA ADMINISTRATIVA </t>
  </si>
  <si>
    <t xml:space="preserve">Jarlene Maria Silva Matos </t>
  </si>
  <si>
    <t>044.378.578-97</t>
  </si>
  <si>
    <t xml:space="preserve">Técnica do transporte escolar </t>
  </si>
  <si>
    <t>Alcance no georefeciamento com exito com 100% na rede municipal e estadual.</t>
  </si>
  <si>
    <t>antoniolopesdepaulanatan@gmail.com</t>
  </si>
  <si>
    <t>Natan Antonio Lopes de Paula</t>
  </si>
  <si>
    <t>062.166.941-54</t>
  </si>
  <si>
    <t>(66)99257-6097</t>
  </si>
  <si>
    <t>SINOP</t>
  </si>
  <si>
    <t>tecnico administrativo</t>
  </si>
  <si>
    <t>(66)98128-9477</t>
  </si>
  <si>
    <t>NOVA MARINGÁ</t>
  </si>
  <si>
    <t>REPRESENTANTE TÉCNICO ADMINISTRATIVO</t>
  </si>
  <si>
    <t>(66)98115-9365</t>
  </si>
  <si>
    <t>Gerente de Frotas</t>
  </si>
  <si>
    <t>(66)98470-1708</t>
  </si>
  <si>
    <t>TERRA NOVA DO NORTE</t>
  </si>
  <si>
    <t>neussania.oliveira@itanhanga.edu.mt.gov.br</t>
  </si>
  <si>
    <t>Neussania Silva de Oliveira</t>
  </si>
  <si>
    <t>(66)98453-5699</t>
  </si>
  <si>
    <t xml:space="preserve">técnico transcolar </t>
  </si>
  <si>
    <t>adriana.aparecida1213@gmail.com</t>
  </si>
  <si>
    <t xml:space="preserve">Adriana Aparecida da Silva </t>
  </si>
  <si>
    <t>046.567.311-29</t>
  </si>
  <si>
    <t>(66)98405-5326</t>
  </si>
  <si>
    <t xml:space="preserve">DIRETOR DE DEPARTAMENTO </t>
  </si>
  <si>
    <t>Secretário Adjunto</t>
  </si>
  <si>
    <t>dulcineia.cabral@guarantadonorte.edu.mt.gov.br</t>
  </si>
  <si>
    <t>DULCINEIA MATHIAS CABRAL</t>
  </si>
  <si>
    <t>(66)98467-3867</t>
  </si>
  <si>
    <t>GUARANTÃ DO NORTE</t>
  </si>
  <si>
    <t xml:space="preserve">TEC administrativa responsável pelo sistema </t>
  </si>
  <si>
    <t>Veruska Aparecida Gonçalves</t>
  </si>
  <si>
    <t>NOVA UBIRATÃ</t>
  </si>
  <si>
    <t xml:space="preserve">GESTÃO TRANSPORTE </t>
  </si>
  <si>
    <t>Técnico do transcolar</t>
  </si>
  <si>
    <t>ivetebergamini@hotmail.com</t>
  </si>
  <si>
    <t>IVETE SCHNEIDER BERGAMINI</t>
  </si>
  <si>
    <t>905.312.641-49</t>
  </si>
  <si>
    <t>(66)99917-4443</t>
  </si>
  <si>
    <t>SECRETÁRIA DE EDUCAÇÃO</t>
  </si>
  <si>
    <t>ônibus quase todos novos</t>
  </si>
  <si>
    <t>Claudimiro Neves de Freitas</t>
  </si>
  <si>
    <t>Professor Técnico de Regime de colaboração com os Municípios</t>
  </si>
  <si>
    <t>Simony Fernanda Fontana Palenschi</t>
  </si>
  <si>
    <t>(66)99657-2254</t>
  </si>
  <si>
    <t>Técnica de Prestação de contas PNATE e Caminho da Escola</t>
  </si>
  <si>
    <t>educacao@marcelandia.mt.gov.br</t>
  </si>
  <si>
    <t>Sandra Borsari</t>
  </si>
  <si>
    <t>029.829.039-11</t>
  </si>
  <si>
    <t>(66)99673-4425</t>
  </si>
  <si>
    <t>MARCELÂNDIA</t>
  </si>
  <si>
    <t>Secretária de Educação</t>
  </si>
  <si>
    <t>Sandra Belusso Casagrande</t>
  </si>
  <si>
    <t>Técnica Administrativa Educacional</t>
  </si>
  <si>
    <t>Ana Claudia Dalmolin</t>
  </si>
  <si>
    <t>Presidente do Conselho do FUNDEB</t>
  </si>
  <si>
    <t>Ana Paula Tavares da Camara Canguçu</t>
  </si>
  <si>
    <t>768.855.340-00</t>
  </si>
  <si>
    <t>(66)99985-6712</t>
  </si>
  <si>
    <t>SORRISO</t>
  </si>
  <si>
    <t>Secretaria executiva</t>
  </si>
  <si>
    <t>se.educa@itanhanga.mt.gov.br</t>
  </si>
  <si>
    <t xml:space="preserve">Silvana Maria Dalmolin Wöhl </t>
  </si>
  <si>
    <t>019.526.759-10</t>
  </si>
  <si>
    <t>(66)98412-4026</t>
  </si>
  <si>
    <t xml:space="preserve">Secretária </t>
  </si>
  <si>
    <t>Ainda não...</t>
  </si>
  <si>
    <t>transporte@educa.novomundo.mt.gov.br</t>
  </si>
  <si>
    <t>Oteniel de Jesus Santos</t>
  </si>
  <si>
    <t>NOVO MUNDO</t>
  </si>
  <si>
    <t>Chefe da Divisão do Transporte Escolar</t>
  </si>
  <si>
    <t>Em relação a comunicação com os pais dos alunos na captura da geolocalização. Nosso município desenvolveu um sistema para capturar automaticamente todas as informações do aluno e responsável e sua geolocalização. Enviamos para os pais um link de um formulário, onde os responsáveis preenchem com nome completo, nome do aluno, nome da escola e turma. O  próprio formulário captura a localização atual no ato do preenchimento. Quando o formulário é submetido, todas as informações são enviadas para o WhatsApp do gestor agilizando a comunicação e atualização das informações no sistema. Antes as conversas do WhatsApp eram relativamente longas, onde pediamos o nome, depois de obter a resposta era nos eviado a escola e turma e assim por diante. Com o formulário tudo é enviado de uma só vez. Caso queiram conferir o link é:  https://transporte-escolar-2025.vercel.app</t>
  </si>
  <si>
    <t>sec.educacao@novomundo.mt.gov.br</t>
  </si>
  <si>
    <t>Denise Bortolozzo Dalazen</t>
  </si>
  <si>
    <t>Técnica Prestação de Contas PDDE</t>
  </si>
  <si>
    <t>aldeni morais machado santana</t>
  </si>
  <si>
    <t>COLÍDER</t>
  </si>
  <si>
    <t>assesor de gabinete</t>
  </si>
  <si>
    <t>gersoncandidoribeiro1425@gmail.com</t>
  </si>
  <si>
    <t xml:space="preserve">Gerson Cândido Ribeiro </t>
  </si>
  <si>
    <t>625.283.431-91</t>
  </si>
  <si>
    <t>(66)99649-4549</t>
  </si>
  <si>
    <t xml:space="preserve">Diretor de departamento </t>
  </si>
  <si>
    <t>MARCELO VACARO DE AQUINO</t>
  </si>
  <si>
    <t>(66)99675-7252</t>
  </si>
  <si>
    <t>COMPRAS/ TRANSCOLAR</t>
  </si>
  <si>
    <t>Flávia Corrêa da Silveira Lopes</t>
  </si>
  <si>
    <t>(66)99625-9414</t>
  </si>
  <si>
    <t>Representante do Poder Executivo - Secretaria Municipal de Educação</t>
  </si>
  <si>
    <t xml:space="preserve">Noadir Josenira Tedesco Funez </t>
  </si>
  <si>
    <t>Secretária Executiva.</t>
  </si>
  <si>
    <t>Felipe Ricardo de Oliveira Morais</t>
  </si>
  <si>
    <t>(66)99213-0672</t>
  </si>
  <si>
    <t>ALTA FLORESTA</t>
  </si>
  <si>
    <t>Técnico Administrativo Educacional - Transporte Escolar</t>
  </si>
  <si>
    <t>Thiago Henrique de Oliveira Morais</t>
  </si>
  <si>
    <t>(66)99242-5565</t>
  </si>
  <si>
    <t>Técnico administrativo educacional responsável pela prestação de contas</t>
  </si>
  <si>
    <t>Lilian Sayuri Ono</t>
  </si>
  <si>
    <t>(66)99283-0493</t>
  </si>
  <si>
    <t>Conselheira Municipal de Educação, Câmara do Fundeb e Presidente da Comissão do Transporte Escolar</t>
  </si>
  <si>
    <t>Neuzira Rosa de Brito</t>
  </si>
  <si>
    <t>(66)99242-3526</t>
  </si>
  <si>
    <t>Professora</t>
  </si>
  <si>
    <t>fundeb@guarantadonorte.mt.gov.br</t>
  </si>
  <si>
    <t xml:space="preserve">JOAO MARQUES </t>
  </si>
  <si>
    <t xml:space="preserve">CAMILI ROMAN GOMES </t>
  </si>
  <si>
    <t>SÃO JOSÉ DO RIO CLARO</t>
  </si>
  <si>
    <t xml:space="preserve">TECNICO DO SISTEMA TRANSCOLAR </t>
  </si>
  <si>
    <t>(66)98427-1575</t>
  </si>
  <si>
    <t xml:space="preserve">Conselheiro </t>
  </si>
  <si>
    <t>cathea chapla</t>
  </si>
  <si>
    <t>(66)99637-6598</t>
  </si>
  <si>
    <t>chefe de departamento transporte escolar</t>
  </si>
  <si>
    <t>juliana@saojosedorioclaro.mt.gov.br</t>
  </si>
  <si>
    <t>JULIANA GHEDIN CAPPELLESSO</t>
  </si>
  <si>
    <t>040.313.309-28</t>
  </si>
  <si>
    <t>(65)99303-7105</t>
  </si>
  <si>
    <t>SECRETARIA MUNICIPAL DE EDUCAÇÃO E CULTURA</t>
  </si>
  <si>
    <t>(66)99658-2531</t>
  </si>
  <si>
    <t>educacao@saojosedorioclaro.mt.gov.br</t>
  </si>
  <si>
    <t xml:space="preserve">MARIA BEATRIZ DE MAGALHAES MORAIS	</t>
  </si>
  <si>
    <t xml:space="preserve">Presidência </t>
  </si>
  <si>
    <t>kamila de Almeida Reis</t>
  </si>
  <si>
    <t>(66)99986-6165</t>
  </si>
  <si>
    <t>Presidente</t>
  </si>
  <si>
    <t>educacao@novaguarita.mt.gov.br</t>
  </si>
  <si>
    <t>KATIA NERVIS GUEDES</t>
  </si>
  <si>
    <t>(66)98443-1093</t>
  </si>
  <si>
    <t>Conselheira</t>
  </si>
  <si>
    <t>(66)99973-3820</t>
  </si>
  <si>
    <t>Técnica em sistema sete</t>
  </si>
  <si>
    <t xml:space="preserve">Lilian Cláudia Pereira de Oliveira </t>
  </si>
  <si>
    <t xml:space="preserve">Representante do Conselho </t>
  </si>
  <si>
    <t>ricardomartins06@hotmail.com</t>
  </si>
  <si>
    <t>Ricardo Martins dos Santos</t>
  </si>
  <si>
    <t>900.336.551-20</t>
  </si>
  <si>
    <t>(66)99961-0691</t>
  </si>
  <si>
    <t xml:space="preserve">Técnico </t>
  </si>
  <si>
    <t>Andrei de Jesus Krasowski</t>
  </si>
  <si>
    <t>VERA</t>
  </si>
  <si>
    <t>Assistente de controle administrativo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</si>
</sst>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dd/mm/yyyy"/>
    <numFmt numFmtId="166" formatCode="d/m/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FFFFFF"/>
      <name val="Roboto"/>
    </font>
    <font>
      <color rgb="FF434343"/>
      <name val="Roboto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2" fontId="3" numFmtId="0" xfId="0" applyAlignment="1" applyBorder="1" applyFill="1" applyFont="1">
      <alignment horizontal="left" readingOrder="0" shrinkToFit="0" vertical="center" wrapText="0"/>
    </xf>
    <xf borderId="2" fillId="2" fontId="3" numFmtId="0" xfId="0" applyAlignment="1" applyBorder="1" applyFill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4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shrinkToFit="0" vertical="center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4" xfId="0" applyAlignment="1" applyFont="1" applyNumberFormat="1">
      <alignment shrinkToFit="0" vertical="center" wrapText="0"/>
    </xf>
    <xf borderId="3" fillId="3" fontId="4" numFmtId="164" xfId="0" applyAlignment="1" applyBorder="1" applyFill="1" applyFont="1" applyNumberFormat="1">
      <alignment horizontal="right" shrinkToFit="0" vertical="center" wrapText="0"/>
    </xf>
    <xf borderId="4" fillId="3" fontId="4" numFmtId="0" xfId="0" applyAlignment="1" applyBorder="1" applyFill="1" applyFont="1">
      <alignment shrinkToFit="0" vertical="center" wrapText="0"/>
    </xf>
    <xf borderId="4" fillId="3" fontId="4" numFmtId="14" xfId="0" applyAlignment="1" applyBorder="1" applyFill="1" applyFont="1" applyNumberFormat="1">
      <alignment horizontal="right" shrinkToFit="0" vertical="center" wrapText="0"/>
    </xf>
    <xf borderId="4" fillId="3" fontId="5" numFmtId="0" xfId="0" applyAlignment="1" applyBorder="1" applyFill="1" applyFont="1">
      <alignment shrinkToFit="0" vertical="center" wrapText="0"/>
    </xf>
    <xf borderId="5" fillId="4" fontId="4" numFmtId="164" xfId="0" applyAlignment="1" applyBorder="1" applyFill="1" applyFont="1" applyNumberFormat="1">
      <alignment horizontal="right" shrinkToFit="0" vertical="center" wrapText="0"/>
    </xf>
    <xf borderId="6" fillId="4" fontId="4" numFmtId="0" xfId="0" applyAlignment="1" applyBorder="1" applyFill="1" applyFont="1">
      <alignment shrinkToFit="0" vertical="center" wrapText="0"/>
    </xf>
    <xf borderId="6" fillId="4" fontId="4" numFmtId="14" xfId="0" applyAlignment="1" applyBorder="1" applyFill="1" applyFont="1" applyNumberFormat="1">
      <alignment horizontal="right" shrinkToFit="0" vertical="center" wrapText="0"/>
    </xf>
    <xf borderId="6" fillId="4" fontId="5" numFmtId="0" xfId="0" applyAlignment="1" applyBorder="1" applyFill="1" applyFont="1">
      <alignment shrinkToFit="0" vertical="center" wrapText="0"/>
    </xf>
    <xf borderId="7" fillId="3" fontId="4" numFmtId="164" xfId="0" applyAlignment="1" applyBorder="1" applyFill="1" applyFont="1" applyNumberFormat="1">
      <alignment horizontal="right" shrinkToFit="0" vertical="center" wrapText="0"/>
    </xf>
    <xf borderId="8" fillId="3" fontId="4" numFmtId="0" xfId="0" applyAlignment="1" applyBorder="1" applyFill="1" applyFont="1">
      <alignment shrinkToFit="0" vertical="center" wrapText="0"/>
    </xf>
    <xf borderId="8" fillId="3" fontId="4" numFmtId="14" xfId="0" applyAlignment="1" applyBorder="1" applyFill="1" applyFont="1" applyNumberFormat="1">
      <alignment horizontal="right" shrinkToFit="0" vertical="center" wrapText="0"/>
    </xf>
    <xf borderId="8" fillId="3" fontId="5" numFmtId="0" xfId="0" applyAlignment="1" applyBorder="1" applyFill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58" displayName="Form_Responses1" name="Form_Responses1" id="1">
  <tableColumns count="18">
    <tableColumn name="Carimbo de data/hora" id="1"/>
    <tableColumn name="Endereço de e-mail" id="2"/>
    <tableColumn name="Nome Completo:" id="3"/>
    <tableColumn name="CPF:  XXX.XXX.XXX-XX" id="4"/>
    <tableColumn name="Você já está inscrito no Curso de Capacitação em Transporte Escolar?" id="5"/>
    <tableColumn name="Data de Nascimento" id="6"/>
    <tableColumn name="Telefone (XX)XXXXX-XXXX" id="7"/>
    <tableColumn name="Município que representa:" id="8"/>
    <tableColumn name="Você faz parte do:" id="9"/>
    <tableColumn name="Que cargo você ocupa na gestão municipal?" id="10"/>
    <tableColumn name="Prezado(a) Gestor(a), _x000a__x000a_Se existe algum caso de sucesso da gestão do transporte escolar no seu município, gostaríamos conhecer mais um pouco ao respeito._x000a__x000a_Por favor, relate de forma sucinta o caso de sucesso no espaço a seguir:" id="11"/>
    <tableColumn name="Que cargo você ocupa no CACS-FUNDEB?" id="12"/>
    <tableColumn name="Telefone: (DD)XXXXX-XXXX" id="13"/>
    <tableColumn name="####" id="14"/>
    <tableColumn name="Data de Nascimento 2" id="15"/>
    <tableColumn name="Telefone (XX)XXXXX-XXXX 2" id="16"/>
    <tableColumn name="Município que representa: 2" id="17"/>
    <tableColumn name="Você faz parte do: 2" id="18"/>
  </tableColumns>
  <tableStyleInfo name="Respostas ao formulário 1-style" showColumnStripes="0" showFirstColumn="1" showLastColumn="1" showRowStripes="1"/>
</table>
</file>

<file path=xl/tables/table2.xml><?xml version="1.0" encoding="utf-8"?>
<table xmlns="http://schemas.openxmlformats.org/spreadsheetml/2006/main" ref="A1:L59" displayName="Tabela_1" name="Tabela_1" id="2">
  <autoFilter ref="$A$1:$L$59"/>
  <tableColumns count="12">
    <tableColumn name="Carimbo de data/hora" id="1"/>
    <tableColumn name="Endereço de e-mail" id="2"/>
    <tableColumn name="Nome Completo:" id="3"/>
    <tableColumn name="CPF" id="4"/>
    <tableColumn name="Data de Nascimento" id="5"/>
    <tableColumn name="Telefone (XX)XXXXX-XXXX" id="6"/>
    <tableColumn name="Município que representa:" id="7"/>
    <tableColumn name="Você faz parte do:" id="8"/>
    <tableColumn name="Que cargo você ocupa na gestão municipal?" id="9"/>
    <tableColumn name="Prezado(a) Gestor(a), _x000a__x000a_Se existe algum caso de sucesso da gestão do transporte escolar no seu município, gostaríamos conhecer mais um pouco ao respeito._x000a__x000a_Por favor, relate de forma sucinta o caso de sucesso no espaço a seguir:" id="10"/>
    <tableColumn name="Que cargo você ocupa no CACS-FUNDEB?" id="11"/>
    <tableColumn name="Coluna 11" id="12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9.25"/>
    <col customWidth="1" min="3" max="4" width="18.88"/>
    <col customWidth="1" min="5" max="5" width="37.63"/>
    <col customWidth="1" min="6" max="6" width="20.13"/>
    <col customWidth="1" min="7" max="7" width="24.88"/>
    <col customWidth="1" min="8" max="8" width="24.13"/>
    <col customWidth="1" min="9" max="9" width="18.88"/>
    <col customWidth="1" min="10" max="10" width="37.25"/>
    <col customWidth="1" min="11" max="11" width="37.63"/>
    <col customWidth="1" min="12" max="12" width="35.63"/>
    <col customWidth="1" min="13" max="19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</row>
    <row r="2" ht="22.5" customHeight="1">
      <c r="A2" s="7">
        <v>45838.34193971065</v>
      </c>
      <c r="B2" s="8" t="s">
        <v>18</v>
      </c>
      <c r="C2" s="8" t="s">
        <v>19</v>
      </c>
      <c r="D2" s="8" t="s">
        <v>20</v>
      </c>
      <c r="E2" s="8" t="s">
        <v>21</v>
      </c>
      <c r="M2" s="8" t="s">
        <v>22</v>
      </c>
      <c r="O2" s="9">
        <f>IF(E2="Sim",VLOOKUP(D2,Tabela_1[[#ALL],[CPF]:[Que cargo você ocupa no CACS-FUNDEB?]],2,FALSE),F2)</f>
        <v>34644</v>
      </c>
      <c r="P2" s="10" t="str">
        <f>IF(E2="Sim",VLOOKUP(D2,Tabela_1[[#ALL],[CPF]:[Que cargo você ocupa no CACS-FUNDEB?]],3,FALSE),G2)</f>
        <v>(66)99931-4023</v>
      </c>
      <c r="Q2" s="10" t="str">
        <f>IF(E2="Sim",VLOOKUP(D2,Tabela_1[[#ALL],[CPF]:[Que cargo você ocupa no CACS-FUNDEB?]],4,FALSE),H2)</f>
        <v>COLÍDER</v>
      </c>
      <c r="R2" s="10" t="str">
        <f>IF(E2="Sim",VLOOKUP(D2,Tabela_1[[#ALL],[CPF]:[Que cargo você ocupa no CACS-FUNDEB?]],5,FALSE),I2)</f>
        <v>Gestão municipal</v>
      </c>
    </row>
    <row r="3" ht="22.5" customHeight="1">
      <c r="A3" s="7">
        <v>45834.376660752314</v>
      </c>
      <c r="B3" s="8" t="s">
        <v>23</v>
      </c>
      <c r="C3" s="8" t="s">
        <v>24</v>
      </c>
      <c r="D3" s="8" t="s">
        <v>25</v>
      </c>
      <c r="E3" s="8" t="s">
        <v>21</v>
      </c>
      <c r="M3" s="8" t="s">
        <v>26</v>
      </c>
      <c r="O3" s="9">
        <f>IF(E3="Sim",VLOOKUP(D3,Tabela_1[[#ALL],[CPF]:[Que cargo você ocupa no CACS-FUNDEB?]],2,FALSE),F3)</f>
        <v>33322</v>
      </c>
      <c r="P3" s="10" t="str">
        <f>IF(E3="Sim",VLOOKUP(D3,Tabela_1[[#ALL],[CPF]:[Que cargo você ocupa no CACS-FUNDEB?]],3,FALSE),G3)</f>
        <v>(66)99660-6600</v>
      </c>
      <c r="Q3" s="10" t="str">
        <f>IF(E3="Sim",VLOOKUP(D3,Tabela_1[[#ALL],[CPF]:[Que cargo você ocupa no CACS-FUNDEB?]],4,FALSE),H3)</f>
        <v>MARCELÂNDIA</v>
      </c>
      <c r="R3" s="10" t="str">
        <f>IF(E3="Sim",VLOOKUP(D3,Tabela_1[[#ALL],[CPF]:[Que cargo você ocupa no CACS-FUNDEB?]],5,FALSE),I3)</f>
        <v>CACS-FUNDEB</v>
      </c>
    </row>
    <row r="4" ht="22.5" customHeight="1">
      <c r="A4" s="11">
        <v>45833.404270810184</v>
      </c>
      <c r="B4" s="12" t="s">
        <v>27</v>
      </c>
      <c r="C4" s="12" t="s">
        <v>28</v>
      </c>
      <c r="D4" s="12" t="s">
        <v>29</v>
      </c>
      <c r="E4" s="12" t="s">
        <v>21</v>
      </c>
      <c r="F4" s="13"/>
      <c r="G4" s="13"/>
      <c r="H4" s="13"/>
      <c r="I4" s="13"/>
      <c r="J4" s="13"/>
      <c r="K4" s="13"/>
      <c r="L4" s="13"/>
      <c r="M4" s="13"/>
      <c r="N4" s="13"/>
      <c r="O4" s="14">
        <f>IF(E4="Sim",VLOOKUP(D4,Tabela_1[[#ALL],[CPF]:[Que cargo você ocupa no CACS-FUNDEB?]],2,FALSE),F4)</f>
        <v>35610</v>
      </c>
      <c r="P4" s="13" t="str">
        <f>IF(E4="Sim",VLOOKUP(D4,Tabela_1[[#ALL],[CPF]:[Que cargo você ocupa no CACS-FUNDEB?]],3,FALSE),G4)</f>
        <v>(66)98470-1708</v>
      </c>
      <c r="Q4" s="13" t="str">
        <f>IF(E4="Sim",VLOOKUP(D4,Tabela_1[[#ALL],[CPF]:[Que cargo você ocupa no CACS-FUNDEB?]],4,FALSE),H4)</f>
        <v>ITANHANGÁ</v>
      </c>
      <c r="R4" s="13" t="str">
        <f>IF(E4="Sim",VLOOKUP(D4,Tabela_1[[#ALL],[CPF]:[Que cargo você ocupa no CACS-FUNDEB?]],5,FALSE),I4)</f>
        <v>CACS-FUNDEB</v>
      </c>
    </row>
    <row r="5" ht="22.5" customHeight="1">
      <c r="A5" s="11">
        <v>45833.404251134256</v>
      </c>
      <c r="B5" s="12" t="s">
        <v>30</v>
      </c>
      <c r="C5" s="12" t="s">
        <v>31</v>
      </c>
      <c r="D5" s="12" t="s">
        <v>32</v>
      </c>
      <c r="E5" s="12" t="s">
        <v>21</v>
      </c>
      <c r="F5" s="13"/>
      <c r="G5" s="13"/>
      <c r="H5" s="13"/>
      <c r="I5" s="13"/>
      <c r="J5" s="13"/>
      <c r="K5" s="13"/>
      <c r="L5" s="13"/>
      <c r="M5" s="13"/>
      <c r="N5" s="13"/>
      <c r="O5" s="14">
        <f>IF(E5="Sim",VLOOKUP(D5,Tabela_1[[#ALL],[CPF]:[Que cargo você ocupa no CACS-FUNDEB?]],2,FALSE),F5)</f>
        <v>34236</v>
      </c>
      <c r="P5" s="13" t="str">
        <f>IF(E5="Sim",VLOOKUP(D5,Tabela_1[[#ALL],[CPF]:[Que cargo você ocupa no CACS-FUNDEB?]],3,FALSE),G5)</f>
        <v>(66)99256-4288</v>
      </c>
      <c r="Q5" s="13" t="str">
        <f>IF(E5="Sim",VLOOKUP(D5,Tabela_1[[#ALL],[CPF]:[Que cargo você ocupa no CACS-FUNDEB?]],4,FALSE),H5)</f>
        <v>MATUPÁ</v>
      </c>
      <c r="R5" s="13" t="str">
        <f>IF(E5="Sim",VLOOKUP(D5,Tabela_1[[#ALL],[CPF]:[Que cargo você ocupa no CACS-FUNDEB?]],5,FALSE),I5)</f>
        <v>Gestão municipal</v>
      </c>
    </row>
    <row r="6" ht="22.5" customHeight="1">
      <c r="A6" s="11">
        <v>45833.41039130787</v>
      </c>
      <c r="B6" s="12" t="s">
        <v>33</v>
      </c>
      <c r="C6" s="12" t="s">
        <v>34</v>
      </c>
      <c r="D6" s="12" t="s">
        <v>35</v>
      </c>
      <c r="E6" s="12" t="s">
        <v>36</v>
      </c>
      <c r="F6" s="15">
        <v>37684.0</v>
      </c>
      <c r="G6" s="12" t="s">
        <v>37</v>
      </c>
      <c r="H6" s="12" t="s">
        <v>38</v>
      </c>
      <c r="I6" s="12" t="s">
        <v>39</v>
      </c>
      <c r="J6" s="12" t="s">
        <v>40</v>
      </c>
      <c r="K6" s="13"/>
      <c r="L6" s="13"/>
      <c r="M6" s="13"/>
      <c r="N6" s="13"/>
      <c r="O6" s="16">
        <f>IF(E6="Sim",VLOOKUP(D6,Tabela_1[[#ALL],[CPF]:[Que cargo você ocupa no CACS-FUNDEB?]],2,FALSE),F6)</f>
        <v>37684</v>
      </c>
      <c r="P6" s="13" t="str">
        <f>IF(E6="Sim",VLOOKUP(D6,Tabela_1[[#ALL],[CPF]:[Que cargo você ocupa no CACS-FUNDEB?]],3,FALSE),G6)</f>
        <v>(66)99256-8735</v>
      </c>
      <c r="Q6" s="13" t="str">
        <f>IF(E6="Sim",VLOOKUP(D6,Tabela_1[[#ALL],[CPF]:[Que cargo você ocupa no CACS-FUNDEB?]],4,FALSE),H6)</f>
        <v>Guarantã do Norte</v>
      </c>
      <c r="R6" s="13" t="str">
        <f>IF(E6="Sim",VLOOKUP(D6,Tabela_1[[#ALL],[CPF]:[Que cargo você ocupa no CACS-FUNDEB?]],5,FALSE),I6)</f>
        <v>Gestão municipal </v>
      </c>
    </row>
    <row r="7" ht="22.5" customHeight="1">
      <c r="A7" s="7">
        <v>45834.37189835648</v>
      </c>
      <c r="B7" s="8" t="s">
        <v>41</v>
      </c>
      <c r="C7" s="8" t="s">
        <v>42</v>
      </c>
      <c r="D7" s="8" t="s">
        <v>43</v>
      </c>
      <c r="E7" s="8" t="s">
        <v>21</v>
      </c>
      <c r="M7" s="8" t="s">
        <v>44</v>
      </c>
      <c r="O7" s="9">
        <f>IF(E7="Sim",VLOOKUP(D7,Tabela_1[[#ALL],[CPF]:[Que cargo você ocupa no CACS-FUNDEB?]],2,FALSE),F7)</f>
        <v>32799</v>
      </c>
      <c r="P7" s="10" t="str">
        <f>IF(E7="Sim",VLOOKUP(D7,Tabela_1[[#ALL],[CPF]:[Que cargo você ocupa no CACS-FUNDEB?]],3,FALSE),G7)</f>
        <v>(66)99724-7789</v>
      </c>
      <c r="Q7" s="10" t="str">
        <f>IF(E7="Sim",VLOOKUP(D7,Tabela_1[[#ALL],[CPF]:[Que cargo você ocupa no CACS-FUNDEB?]],4,FALSE),H7)</f>
        <v>MARCELÂNDIA</v>
      </c>
      <c r="R7" s="10" t="str">
        <f>IF(E7="Sim",VLOOKUP(D7,Tabela_1[[#ALL],[CPF]:[Que cargo você ocupa no CACS-FUNDEB?]],5,FALSE),I7)</f>
        <v>CACS-FUNDEB</v>
      </c>
    </row>
    <row r="8" ht="22.5" customHeight="1">
      <c r="A8" s="7">
        <v>45834.41722070602</v>
      </c>
      <c r="B8" s="8" t="s">
        <v>45</v>
      </c>
      <c r="C8" s="8" t="s">
        <v>46</v>
      </c>
      <c r="D8" s="8" t="s">
        <v>47</v>
      </c>
      <c r="E8" s="8" t="s">
        <v>21</v>
      </c>
      <c r="M8" s="8" t="s">
        <v>48</v>
      </c>
      <c r="O8" s="9">
        <f>IF(E8="Sim",VLOOKUP(D8,Tabela_1[[#ALL],[CPF]:[Que cargo você ocupa no CACS-FUNDEB?]],2,FALSE),F8)</f>
        <v>36982</v>
      </c>
      <c r="P8" s="10" t="str">
        <f>IF(E8="Sim",VLOOKUP(D8,Tabela_1[[#ALL],[CPF]:[Que cargo você ocupa no CACS-FUNDEB?]],3,FALSE),G8)</f>
        <v>(66)99716-0375</v>
      </c>
      <c r="Q8" s="10" t="str">
        <f>IF(E8="Sim",VLOOKUP(D8,Tabela_1[[#ALL],[CPF]:[Que cargo você ocupa no CACS-FUNDEB?]],4,FALSE),H8)</f>
        <v>VERA</v>
      </c>
      <c r="R8" s="10" t="str">
        <f>IF(E8="Sim",VLOOKUP(D8,Tabela_1[[#ALL],[CPF]:[Que cargo você ocupa no CACS-FUNDEB?]],5,FALSE),I8)</f>
        <v>Gestão municipal</v>
      </c>
    </row>
    <row r="9" ht="22.5" customHeight="1">
      <c r="A9" s="7">
        <v>45834.410494571755</v>
      </c>
      <c r="B9" s="8" t="s">
        <v>49</v>
      </c>
      <c r="C9" s="8" t="s">
        <v>50</v>
      </c>
      <c r="D9" s="8" t="s">
        <v>51</v>
      </c>
      <c r="E9" s="8" t="s">
        <v>21</v>
      </c>
      <c r="M9" s="8" t="s">
        <v>52</v>
      </c>
      <c r="O9" s="9">
        <f>IF(E9="Sim",VLOOKUP(D9,Tabela_1[[#ALL],[CPF]:[Que cargo você ocupa no CACS-FUNDEB?]],2,FALSE),F9)</f>
        <v>38145</v>
      </c>
      <c r="P9" s="10" t="str">
        <f>IF(E9="Sim",VLOOKUP(D9,Tabela_1[[#ALL],[CPF]:[Que cargo você ocupa no CACS-FUNDEB?]],3,FALSE),G9)</f>
        <v>(65)99223-4880</v>
      </c>
      <c r="Q9" s="10" t="str">
        <f>IF(E9="Sim",VLOOKUP(D9,Tabela_1[[#ALL],[CPF]:[Que cargo você ocupa no CACS-FUNDEB?]],4,FALSE),H9)</f>
        <v>SÃO JOSÉ DO RIO CLARO</v>
      </c>
      <c r="R9" s="10" t="str">
        <f>IF(E9="Sim",VLOOKUP(D9,Tabela_1[[#ALL],[CPF]:[Que cargo você ocupa no CACS-FUNDEB?]],5,FALSE),I9)</f>
        <v>Gestão municipal</v>
      </c>
    </row>
    <row r="10" ht="22.5" customHeight="1">
      <c r="A10" s="11">
        <v>45833.40742512731</v>
      </c>
      <c r="B10" s="12" t="s">
        <v>53</v>
      </c>
      <c r="C10" s="12" t="s">
        <v>54</v>
      </c>
      <c r="D10" s="12" t="s">
        <v>55</v>
      </c>
      <c r="E10" s="12" t="s">
        <v>21</v>
      </c>
      <c r="F10" s="13"/>
      <c r="G10" s="13"/>
      <c r="H10" s="13"/>
      <c r="I10" s="13"/>
      <c r="J10" s="13"/>
      <c r="K10" s="13"/>
      <c r="L10" s="13"/>
      <c r="M10" s="13"/>
      <c r="N10" s="13"/>
      <c r="O10" s="14">
        <f>IF(E10="Sim",VLOOKUP(D10,Tabela_1[[#ALL],[CPF]:[Que cargo você ocupa no CACS-FUNDEB?]],2,FALSE),F10)</f>
        <v>32218</v>
      </c>
      <c r="P10" s="13" t="str">
        <f>IF(E10="Sim",VLOOKUP(D10,Tabela_1[[#ALL],[CPF]:[Que cargo você ocupa no CACS-FUNDEB?]],3,FALSE),G10)</f>
        <v>(66)99658-2531</v>
      </c>
      <c r="Q10" s="13" t="str">
        <f>IF(E10="Sim",VLOOKUP(D10,Tabela_1[[#ALL],[CPF]:[Que cargo você ocupa no CACS-FUNDEB?]],4,FALSE),H10)</f>
        <v>COLÍDER</v>
      </c>
      <c r="R10" s="13" t="str">
        <f>IF(E10="Sim",VLOOKUP(D10,Tabela_1[[#ALL],[CPF]:[Que cargo você ocupa no CACS-FUNDEB?]],5,FALSE),I10)</f>
        <v>CACS-FUNDEB</v>
      </c>
    </row>
    <row r="11" ht="22.5" customHeight="1">
      <c r="A11" s="11">
        <v>45833.402875127314</v>
      </c>
      <c r="B11" s="12" t="s">
        <v>56</v>
      </c>
      <c r="C11" s="12" t="s">
        <v>57</v>
      </c>
      <c r="D11" s="12" t="s">
        <v>58</v>
      </c>
      <c r="E11" s="12" t="s">
        <v>21</v>
      </c>
      <c r="F11" s="13"/>
      <c r="G11" s="13"/>
      <c r="H11" s="13"/>
      <c r="I11" s="13"/>
      <c r="J11" s="13"/>
      <c r="K11" s="13"/>
      <c r="L11" s="13"/>
      <c r="M11" s="13"/>
      <c r="N11" s="13"/>
      <c r="O11" s="14">
        <f>IF(E11="Sim",VLOOKUP(D11,Tabela_1[[#ALL],[CPF]:[Que cargo você ocupa no CACS-FUNDEB?]],2,FALSE),F11)</f>
        <v>32228</v>
      </c>
      <c r="P11" s="13" t="str">
        <f>IF(E11="Sim",VLOOKUP(D11,Tabela_1[[#ALL],[CPF]:[Que cargo você ocupa no CACS-FUNDEB?]],3,FALSE),G11)</f>
        <v>(66)99637-6598</v>
      </c>
      <c r="Q11" s="13" t="str">
        <f>IF(E11="Sim",VLOOKUP(D11,Tabela_1[[#ALL],[CPF]:[Que cargo você ocupa no CACS-FUNDEB?]],4,FALSE),H11)</f>
        <v>SORRISO</v>
      </c>
      <c r="R11" s="13" t="str">
        <f>IF(E11="Sim",VLOOKUP(D11,Tabela_1[[#ALL],[CPF]:[Que cargo você ocupa no CACS-FUNDEB?]],5,FALSE),I11)</f>
        <v>Gestão municipal</v>
      </c>
    </row>
    <row r="12" ht="22.5" customHeight="1">
      <c r="A12" s="11">
        <v>45833.404264537035</v>
      </c>
      <c r="B12" s="12" t="s">
        <v>59</v>
      </c>
      <c r="C12" s="12" t="s">
        <v>60</v>
      </c>
      <c r="D12" s="12" t="s">
        <v>61</v>
      </c>
      <c r="E12" s="12" t="s">
        <v>36</v>
      </c>
      <c r="F12" s="15">
        <v>27549.0</v>
      </c>
      <c r="G12" s="12" t="s">
        <v>62</v>
      </c>
      <c r="H12" s="12" t="s">
        <v>63</v>
      </c>
      <c r="I12" s="12" t="s">
        <v>64</v>
      </c>
      <c r="J12" s="12" t="s">
        <v>65</v>
      </c>
      <c r="K12" s="13"/>
      <c r="L12" s="13"/>
      <c r="M12" s="13"/>
      <c r="N12" s="13"/>
      <c r="O12" s="16">
        <f>IF(E12="Sim",VLOOKUP(D12,Tabela_1[[#ALL],[CPF]:[Que cargo você ocupa no CACS-FUNDEB?]],2,FALSE),F12)</f>
        <v>27549</v>
      </c>
      <c r="P12" s="13" t="str">
        <f>IF(E12="Sim",VLOOKUP(D12,Tabela_1[[#ALL],[CPF]:[Que cargo você ocupa no CACS-FUNDEB?]],3,FALSE),G12)</f>
        <v>(66)99613-2253</v>
      </c>
      <c r="Q12" s="13" t="str">
        <f>IF(E12="Sim",VLOOKUP(D12,Tabela_1[[#ALL],[CPF]:[Que cargo você ocupa no CACS-FUNDEB?]],4,FALSE),H12)</f>
        <v>Matupá </v>
      </c>
      <c r="R12" s="13" t="str">
        <f>IF(E12="Sim",VLOOKUP(D12,Tabela_1[[#ALL],[CPF]:[Que cargo você ocupa no CACS-FUNDEB?]],5,FALSE),I12)</f>
        <v>Gestão Municipal</v>
      </c>
    </row>
    <row r="13" ht="22.5" customHeight="1">
      <c r="A13" s="7">
        <v>45834.410341875</v>
      </c>
      <c r="B13" s="8" t="s">
        <v>66</v>
      </c>
      <c r="C13" s="8" t="s">
        <v>67</v>
      </c>
      <c r="D13" s="8" t="s">
        <v>68</v>
      </c>
      <c r="E13" s="8" t="s">
        <v>21</v>
      </c>
      <c r="M13" s="8" t="s">
        <v>69</v>
      </c>
      <c r="O13" s="9">
        <f>IF(E13="Sim",VLOOKUP(D13,Tabela_1[[#ALL],[CPF]:[Que cargo você ocupa no CACS-FUNDEB?]],2,FALSE),F13)</f>
        <v>32244</v>
      </c>
      <c r="P13" s="10" t="str">
        <f>IF(E13="Sim",VLOOKUP(D13,Tabela_1[[#ALL],[CPF]:[Que cargo você ocupa no CACS-FUNDEB?]],3,FALSE),G13)</f>
        <v>(66)99997-2630</v>
      </c>
      <c r="Q13" s="10" t="str">
        <f>IF(E13="Sim",VLOOKUP(D13,Tabela_1[[#ALL],[CPF]:[Que cargo você ocupa no CACS-FUNDEB?]],4,FALSE),H13)</f>
        <v>SINOP</v>
      </c>
      <c r="R13" s="10" t="str">
        <f>IF(E13="Sim",VLOOKUP(D13,Tabela_1[[#ALL],[CPF]:[Que cargo você ocupa no CACS-FUNDEB?]],5,FALSE),I13)</f>
        <v>Gestão municipal</v>
      </c>
    </row>
    <row r="14" ht="22.5" customHeight="1">
      <c r="A14" s="11">
        <v>45833.40844457176</v>
      </c>
      <c r="B14" s="12" t="s">
        <v>70</v>
      </c>
      <c r="C14" s="12" t="s">
        <v>71</v>
      </c>
      <c r="D14" s="12" t="s">
        <v>72</v>
      </c>
      <c r="E14" s="12" t="s">
        <v>36</v>
      </c>
      <c r="F14" s="17">
        <v>25999.0</v>
      </c>
      <c r="G14" s="12" t="s">
        <v>73</v>
      </c>
      <c r="H14" s="12" t="s">
        <v>74</v>
      </c>
      <c r="I14" s="12" t="s">
        <v>75</v>
      </c>
      <c r="J14" s="12" t="s">
        <v>76</v>
      </c>
      <c r="K14" s="13"/>
      <c r="L14" s="13"/>
      <c r="M14" s="13"/>
      <c r="N14" s="13"/>
      <c r="O14" s="14">
        <f>IF(E14="Sim",VLOOKUP(D14,Tabela_1[[#ALL],[CPF]:[Que cargo você ocupa no CACS-FUNDEB?]],2,FALSE),F14)</f>
        <v>25999</v>
      </c>
      <c r="P14" s="13" t="str">
        <f>IF(E14="Sim",VLOOKUP(D14,Tabela_1[[#ALL],[CPF]:[Que cargo você ocupa no CACS-FUNDEB?]],3,FALSE),G14)</f>
        <v>(66)98420-5653</v>
      </c>
      <c r="Q14" s="13" t="str">
        <f>IF(E14="Sim",VLOOKUP(D14,Tabela_1[[#ALL],[CPF]:[Que cargo você ocupa no CACS-FUNDEB?]],4,FALSE),H14)</f>
        <v>ITANHANGÁ</v>
      </c>
      <c r="R14" s="13" t="str">
        <f>IF(E14="Sim",VLOOKUP(D14,Tabela_1[[#ALL],[CPF]:[Que cargo você ocupa no CACS-FUNDEB?]],5,FALSE),I14)</f>
        <v>Gestão municipal</v>
      </c>
    </row>
    <row r="15" ht="22.5" customHeight="1">
      <c r="A15" s="11">
        <v>45833.40423616898</v>
      </c>
      <c r="B15" s="12" t="s">
        <v>77</v>
      </c>
      <c r="C15" s="12" t="s">
        <v>78</v>
      </c>
      <c r="D15" s="12" t="s">
        <v>79</v>
      </c>
      <c r="E15" s="12" t="s">
        <v>21</v>
      </c>
      <c r="F15" s="13"/>
      <c r="G15" s="13"/>
      <c r="H15" s="13"/>
      <c r="I15" s="13"/>
      <c r="J15" s="13"/>
      <c r="K15" s="13"/>
      <c r="L15" s="13"/>
      <c r="M15" s="13"/>
      <c r="N15" s="13"/>
      <c r="O15" s="14">
        <f>IF(E15="Sim",VLOOKUP(D15,Tabela_1[[#ALL],[CPF]:[Que cargo você ocupa no CACS-FUNDEB?]],2,FALSE),F15)</f>
        <v>35992</v>
      </c>
      <c r="P15" s="13" t="str">
        <f>IF(E15="Sim",VLOOKUP(D15,Tabela_1[[#ALL],[CPF]:[Que cargo você ocupa no CACS-FUNDEB?]],3,FALSE),G15)</f>
        <v>(66)99622-4787</v>
      </c>
      <c r="Q15" s="13" t="str">
        <f>IF(E15="Sim",VLOOKUP(D15,Tabela_1[[#ALL],[CPF]:[Que cargo você ocupa no CACS-FUNDEB?]],4,FALSE),H15)</f>
        <v>MATUPÁ</v>
      </c>
      <c r="R15" s="13" t="str">
        <f>IF(E15="Sim",VLOOKUP(D15,Tabela_1[[#ALL],[CPF]:[Que cargo você ocupa no CACS-FUNDEB?]],5,FALSE),I15)</f>
        <v>Gestão municipal</v>
      </c>
    </row>
    <row r="16" ht="22.5" customHeight="1">
      <c r="A16" s="7">
        <v>45834.41171475695</v>
      </c>
      <c r="B16" s="8" t="s">
        <v>80</v>
      </c>
      <c r="C16" s="8" t="s">
        <v>81</v>
      </c>
      <c r="D16" s="8" t="s">
        <v>82</v>
      </c>
      <c r="E16" s="8" t="s">
        <v>21</v>
      </c>
      <c r="M16" s="8" t="s">
        <v>83</v>
      </c>
      <c r="O16" s="9">
        <f>IF(E16="Sim",VLOOKUP(D16,Tabela_1[[#ALL],[CPF]:[Que cargo você ocupa no CACS-FUNDEB?]],2,FALSE),F16)</f>
        <v>32880</v>
      </c>
      <c r="P16" s="10" t="str">
        <f>IF(E16="Sim",VLOOKUP(D16,Tabela_1[[#ALL],[CPF]:[Que cargo você ocupa no CACS-FUNDEB?]],3,FALSE),G16)</f>
        <v>(66)99979-9337</v>
      </c>
      <c r="Q16" s="10" t="str">
        <f>IF(E16="Sim",VLOOKUP(D16,Tabela_1[[#ALL],[CPF]:[Que cargo você ocupa no CACS-FUNDEB?]],4,FALSE),H16)</f>
        <v>PEIXOTO DE AZEVEDO</v>
      </c>
      <c r="R16" s="10" t="str">
        <f>IF(E16="Sim",VLOOKUP(D16,Tabela_1[[#ALL],[CPF]:[Que cargo você ocupa no CACS-FUNDEB?]],5,FALSE),I16)</f>
        <v>CACS-FUNDEB</v>
      </c>
    </row>
    <row r="17" ht="22.5" customHeight="1">
      <c r="A17" s="11">
        <v>45833.40379841435</v>
      </c>
      <c r="B17" s="12" t="s">
        <v>84</v>
      </c>
      <c r="C17" s="12" t="s">
        <v>85</v>
      </c>
      <c r="D17" s="12" t="s">
        <v>86</v>
      </c>
      <c r="E17" s="12" t="s">
        <v>21</v>
      </c>
      <c r="F17" s="13"/>
      <c r="G17" s="13"/>
      <c r="H17" s="13"/>
      <c r="I17" s="13"/>
      <c r="J17" s="13"/>
      <c r="K17" s="13"/>
      <c r="L17" s="13"/>
      <c r="M17" s="13"/>
      <c r="N17" s="13"/>
      <c r="O17" s="14">
        <f>IF(E17="Sim",VLOOKUP(D17,Tabela_1[[#ALL],[CPF]:[Que cargo você ocupa no CACS-FUNDEB?]],2,FALSE),F17)</f>
        <v>30887</v>
      </c>
      <c r="P17" s="13" t="str">
        <f>IF(E17="Sim",VLOOKUP(D17,Tabela_1[[#ALL],[CPF]:[Que cargo você ocupa no CACS-FUNDEB?]],3,FALSE),G17)</f>
        <v>(66)98115-9365</v>
      </c>
      <c r="Q17" s="13" t="str">
        <f>IF(E17="Sim",VLOOKUP(D17,Tabela_1[[#ALL],[CPF]:[Que cargo você ocupa no CACS-FUNDEB?]],4,FALSE),H17)</f>
        <v>NOVA MARINGÁ</v>
      </c>
      <c r="R17" s="13" t="str">
        <f>IF(E17="Sim",VLOOKUP(D17,Tabela_1[[#ALL],[CPF]:[Que cargo você ocupa no CACS-FUNDEB?]],5,FALSE),I17)</f>
        <v>Gestão municipal</v>
      </c>
    </row>
    <row r="18" ht="22.5" customHeight="1">
      <c r="A18" s="7">
        <v>45834.375795</v>
      </c>
      <c r="B18" s="8" t="s">
        <v>87</v>
      </c>
      <c r="C18" s="8" t="s">
        <v>88</v>
      </c>
      <c r="D18" s="8" t="s">
        <v>89</v>
      </c>
      <c r="E18" s="8" t="s">
        <v>21</v>
      </c>
      <c r="M18" s="8" t="s">
        <v>90</v>
      </c>
      <c r="O18" s="9">
        <f>IF(E18="Sim",VLOOKUP(D18,Tabela_1[[#ALL],[CPF]:[Que cargo você ocupa no CACS-FUNDEB?]],2,FALSE),F18)</f>
        <v>24068</v>
      </c>
      <c r="P18" s="10" t="str">
        <f>IF(E18="Sim",VLOOKUP(D18,Tabela_1[[#ALL],[CPF]:[Que cargo você ocupa no CACS-FUNDEB?]],3,FALSE),G18)</f>
        <v>(66)99292-5879</v>
      </c>
      <c r="Q18" s="10" t="str">
        <f>IF(E18="Sim",VLOOKUP(D18,Tabela_1[[#ALL],[CPF]:[Que cargo você ocupa no CACS-FUNDEB?]],4,FALSE),H18)</f>
        <v>NOVO MUNDO</v>
      </c>
      <c r="R18" s="10" t="str">
        <f>IF(E18="Sim",VLOOKUP(D18,Tabela_1[[#ALL],[CPF]:[Que cargo você ocupa no CACS-FUNDEB?]],5,FALSE),I18)</f>
        <v>Gestão municipal</v>
      </c>
    </row>
    <row r="19" ht="22.5" customHeight="1">
      <c r="A19" s="11">
        <v>45833.37689050926</v>
      </c>
      <c r="B19" s="12" t="s">
        <v>91</v>
      </c>
      <c r="C19" s="12" t="s">
        <v>92</v>
      </c>
      <c r="D19" s="12" t="s">
        <v>93</v>
      </c>
      <c r="E19" s="12" t="s">
        <v>21</v>
      </c>
      <c r="F19" s="13"/>
      <c r="G19" s="13"/>
      <c r="H19" s="13"/>
      <c r="I19" s="13"/>
      <c r="J19" s="13"/>
      <c r="K19" s="13"/>
      <c r="L19" s="13"/>
      <c r="M19" s="13"/>
      <c r="N19" s="13"/>
      <c r="O19" s="14">
        <f>IF(E19="Sim",VLOOKUP(D19,Tabela_1[[#ALL],[CPF]:[Que cargo você ocupa no CACS-FUNDEB?]],2,FALSE),F19)</f>
        <v>32723</v>
      </c>
      <c r="P19" s="13" t="str">
        <f>IF(E19="Sim",VLOOKUP(D19,Tabela_1[[#ALL],[CPF]:[Que cargo você ocupa no CACS-FUNDEB?]],3,FALSE),G19)</f>
        <v>(66)98433-1211</v>
      </c>
      <c r="Q19" s="13" t="str">
        <f>IF(E19="Sim",VLOOKUP(D19,Tabela_1[[#ALL],[CPF]:[Que cargo você ocupa no CACS-FUNDEB?]],4,FALSE),H19)</f>
        <v>NOVA GUARITA</v>
      </c>
      <c r="R19" s="13" t="str">
        <f>IF(E19="Sim",VLOOKUP(D19,Tabela_1[[#ALL],[CPF]:[Que cargo você ocupa no CACS-FUNDEB?]],5,FALSE),I19)</f>
        <v>Gestão municipal</v>
      </c>
    </row>
    <row r="20" ht="22.5" customHeight="1">
      <c r="A20" s="11">
        <v>45833.40292202546</v>
      </c>
      <c r="B20" s="12" t="s">
        <v>91</v>
      </c>
      <c r="C20" s="12" t="s">
        <v>92</v>
      </c>
      <c r="D20" s="12" t="s">
        <v>93</v>
      </c>
      <c r="E20" s="12" t="s">
        <v>21</v>
      </c>
      <c r="F20" s="13"/>
      <c r="G20" s="13"/>
      <c r="H20" s="13"/>
      <c r="I20" s="13"/>
      <c r="J20" s="13"/>
      <c r="K20" s="13"/>
      <c r="L20" s="13"/>
      <c r="M20" s="13"/>
      <c r="N20" s="13"/>
      <c r="O20" s="14">
        <f>IF(E20="Sim",VLOOKUP(D20,Tabela_1[[#ALL],[CPF]:[Que cargo você ocupa no CACS-FUNDEB?]],2,FALSE),F20)</f>
        <v>32723</v>
      </c>
      <c r="P20" s="13" t="str">
        <f>IF(E20="Sim",VLOOKUP(D20,Tabela_1[[#ALL],[CPF]:[Que cargo você ocupa no CACS-FUNDEB?]],3,FALSE),G20)</f>
        <v>(66)98433-1211</v>
      </c>
      <c r="Q20" s="13" t="str">
        <f>IF(E20="Sim",VLOOKUP(D20,Tabela_1[[#ALL],[CPF]:[Que cargo você ocupa no CACS-FUNDEB?]],4,FALSE),H20)</f>
        <v>NOVA GUARITA</v>
      </c>
      <c r="R20" s="13" t="str">
        <f>IF(E20="Sim",VLOOKUP(D20,Tabela_1[[#ALL],[CPF]:[Que cargo você ocupa no CACS-FUNDEB?]],5,FALSE),I20)</f>
        <v>Gestão municipal</v>
      </c>
    </row>
    <row r="21" ht="22.5" customHeight="1">
      <c r="A21" s="11">
        <v>45833.40669768519</v>
      </c>
      <c r="B21" s="12" t="s">
        <v>94</v>
      </c>
      <c r="C21" s="12" t="s">
        <v>95</v>
      </c>
      <c r="D21" s="12" t="s">
        <v>96</v>
      </c>
      <c r="E21" s="12" t="s">
        <v>21</v>
      </c>
      <c r="F21" s="13"/>
      <c r="G21" s="13"/>
      <c r="H21" s="13"/>
      <c r="I21" s="13"/>
      <c r="J21" s="13"/>
      <c r="K21" s="13"/>
      <c r="L21" s="13"/>
      <c r="M21" s="13"/>
      <c r="N21" s="13"/>
      <c r="O21" s="14">
        <f>IF(E21="Sim",VLOOKUP(D21,Tabela_1[[#ALL],[CPF]:[Que cargo você ocupa no CACS-FUNDEB?]],2,FALSE),F21)</f>
        <v>28797</v>
      </c>
      <c r="P21" s="13" t="str">
        <f>IF(E21="Sim",VLOOKUP(D21,Tabela_1[[#ALL],[CPF]:[Que cargo você ocupa no CACS-FUNDEB?]],3,FALSE),G21)</f>
        <v>(66)98427-1575</v>
      </c>
      <c r="Q21" s="13" t="str">
        <f>IF(E21="Sim",VLOOKUP(D21,Tabela_1[[#ALL],[CPF]:[Que cargo você ocupa no CACS-FUNDEB?]],4,FALSE),H21)</f>
        <v>ITANHANGÁ</v>
      </c>
      <c r="R21" s="13" t="str">
        <f>IF(E21="Sim",VLOOKUP(D21,Tabela_1[[#ALL],[CPF]:[Que cargo você ocupa no CACS-FUNDEB?]],5,FALSE),I21)</f>
        <v>CACS-FUNDEB</v>
      </c>
    </row>
    <row r="22" ht="22.5" customHeight="1">
      <c r="A22" s="11">
        <v>45833.410718252315</v>
      </c>
      <c r="B22" s="12" t="s">
        <v>97</v>
      </c>
      <c r="C22" s="12" t="s">
        <v>98</v>
      </c>
      <c r="D22" s="12" t="s">
        <v>99</v>
      </c>
      <c r="E22" s="12" t="s">
        <v>21</v>
      </c>
      <c r="F22" s="13"/>
      <c r="G22" s="13"/>
      <c r="H22" s="13"/>
      <c r="I22" s="13"/>
      <c r="J22" s="13"/>
      <c r="K22" s="13"/>
      <c r="L22" s="13"/>
      <c r="M22" s="13"/>
      <c r="N22" s="13"/>
      <c r="O22" s="14">
        <f>IF(E22="Sim",VLOOKUP(D22,Tabela_1[[#ALL],[CPF]:[Que cargo você ocupa no CACS-FUNDEB?]],2,FALSE),F22)</f>
        <v>29775</v>
      </c>
      <c r="P22" s="13" t="str">
        <f>IF(E22="Sim",VLOOKUP(D22,Tabela_1[[#ALL],[CPF]:[Que cargo você ocupa no CACS-FUNDEB?]],3,FALSE),G22)</f>
        <v>(66)98467-3867</v>
      </c>
      <c r="Q22" s="13" t="str">
        <f>IF(E22="Sim",VLOOKUP(D22,Tabela_1[[#ALL],[CPF]:[Que cargo você ocupa no CACS-FUNDEB?]],4,FALSE),H22)</f>
        <v>GUARANTÃ DO NORTE</v>
      </c>
      <c r="R22" s="13" t="str">
        <f>IF(E22="Sim",VLOOKUP(D22,Tabela_1[[#ALL],[CPF]:[Que cargo você ocupa no CACS-FUNDEB?]],5,FALSE),I22)</f>
        <v>Gestão municipal</v>
      </c>
    </row>
    <row r="23" ht="22.5" customHeight="1">
      <c r="A23" s="11">
        <v>45833.37712896991</v>
      </c>
      <c r="B23" s="12" t="s">
        <v>100</v>
      </c>
      <c r="C23" s="12" t="s">
        <v>101</v>
      </c>
      <c r="D23" s="12" t="s">
        <v>102</v>
      </c>
      <c r="E23" s="12" t="s">
        <v>36</v>
      </c>
      <c r="F23" s="15">
        <v>23793.0</v>
      </c>
      <c r="G23" s="12" t="s">
        <v>103</v>
      </c>
      <c r="H23" s="12" t="s">
        <v>104</v>
      </c>
      <c r="I23" s="12" t="s">
        <v>75</v>
      </c>
      <c r="J23" s="12" t="s">
        <v>105</v>
      </c>
      <c r="K23" s="13"/>
      <c r="L23" s="13"/>
      <c r="M23" s="13"/>
      <c r="N23" s="13"/>
      <c r="O23" s="16">
        <f>IF(E23="Sim",VLOOKUP(D23,Tabela_1[[#ALL],[CPF]:[Que cargo você ocupa no CACS-FUNDEB?]],2,FALSE),F23)</f>
        <v>23793</v>
      </c>
      <c r="P23" s="13" t="str">
        <f>IF(E23="Sim",VLOOKUP(D23,Tabela_1[[#ALL],[CPF]:[Que cargo você ocupa no CACS-FUNDEB?]],3,FALSE),G23)</f>
        <v>(66)99665-9475</v>
      </c>
      <c r="Q23" s="13" t="str">
        <f>IF(E23="Sim",VLOOKUP(D23,Tabela_1[[#ALL],[CPF]:[Que cargo você ocupa no CACS-FUNDEB?]],4,FALSE),H23)</f>
        <v>NOVA GUARITA</v>
      </c>
      <c r="R23" s="13" t="str">
        <f>IF(E23="Sim",VLOOKUP(D23,Tabela_1[[#ALL],[CPF]:[Que cargo você ocupa no CACS-FUNDEB?]],5,FALSE),I23)</f>
        <v>Gestão municipal</v>
      </c>
    </row>
    <row r="24" ht="22.5" customHeight="1">
      <c r="A24" s="11">
        <v>45833.40489831018</v>
      </c>
      <c r="B24" s="12" t="s">
        <v>100</v>
      </c>
      <c r="C24" s="12" t="s">
        <v>106</v>
      </c>
      <c r="D24" s="12" t="s">
        <v>102</v>
      </c>
      <c r="E24" s="12" t="s">
        <v>36</v>
      </c>
      <c r="F24" s="15">
        <v>23793.0</v>
      </c>
      <c r="G24" s="12" t="s">
        <v>103</v>
      </c>
      <c r="H24" s="12" t="s">
        <v>104</v>
      </c>
      <c r="I24" s="12" t="s">
        <v>75</v>
      </c>
      <c r="J24" s="12" t="s">
        <v>105</v>
      </c>
      <c r="K24" s="13"/>
      <c r="L24" s="13"/>
      <c r="M24" s="13"/>
      <c r="N24" s="13"/>
      <c r="O24" s="16">
        <f>IF(E24="Sim",VLOOKUP(D24,Tabela_1[[#ALL],[CPF]:[Que cargo você ocupa no CACS-FUNDEB?]],2,FALSE),F24)</f>
        <v>23793</v>
      </c>
      <c r="P24" s="13" t="str">
        <f>IF(E24="Sim",VLOOKUP(D24,Tabela_1[[#ALL],[CPF]:[Que cargo você ocupa no CACS-FUNDEB?]],3,FALSE),G24)</f>
        <v>(66)99665-9475</v>
      </c>
      <c r="Q24" s="13" t="str">
        <f>IF(E24="Sim",VLOOKUP(D24,Tabela_1[[#ALL],[CPF]:[Que cargo você ocupa no CACS-FUNDEB?]],4,FALSE),H24)</f>
        <v>NOVA GUARITA</v>
      </c>
      <c r="R24" s="13" t="str">
        <f>IF(E24="Sim",VLOOKUP(D24,Tabela_1[[#ALL],[CPF]:[Que cargo você ocupa no CACS-FUNDEB?]],5,FALSE),I24)</f>
        <v>Gestão municipal</v>
      </c>
    </row>
    <row r="25" ht="22.5" customHeight="1">
      <c r="A25" s="11">
        <v>45833.41115351852</v>
      </c>
      <c r="B25" s="12" t="s">
        <v>107</v>
      </c>
      <c r="C25" s="12" t="s">
        <v>108</v>
      </c>
      <c r="D25" s="12" t="s">
        <v>109</v>
      </c>
      <c r="E25" s="12" t="s">
        <v>21</v>
      </c>
      <c r="F25" s="13"/>
      <c r="G25" s="13"/>
      <c r="H25" s="13"/>
      <c r="I25" s="13"/>
      <c r="J25" s="13"/>
      <c r="K25" s="13"/>
      <c r="L25" s="13"/>
      <c r="M25" s="13"/>
      <c r="N25" s="13"/>
      <c r="O25" s="14">
        <f>IF(E25="Sim",VLOOKUP(D25,Tabela_1[[#ALL],[CPF]:[Que cargo você ocupa no CACS-FUNDEB?]],2,FALSE),F25)</f>
        <v>38133</v>
      </c>
      <c r="P25" s="13" t="str">
        <f>IF(E25="Sim",VLOOKUP(D25,Tabela_1[[#ALL],[CPF]:[Que cargo você ocupa no CACS-FUNDEB?]],3,FALSE),G25)</f>
        <v>(66)99213-0672</v>
      </c>
      <c r="Q25" s="13" t="str">
        <f>IF(E25="Sim",VLOOKUP(D25,Tabela_1[[#ALL],[CPF]:[Que cargo você ocupa no CACS-FUNDEB?]],4,FALSE),H25)</f>
        <v>ALTA FLORESTA</v>
      </c>
      <c r="R25" s="13" t="str">
        <f>IF(E25="Sim",VLOOKUP(D25,Tabela_1[[#ALL],[CPF]:[Que cargo você ocupa no CACS-FUNDEB?]],5,FALSE),I25)</f>
        <v>Gestão municipal</v>
      </c>
    </row>
    <row r="26" ht="22.5" customHeight="1">
      <c r="A26" s="11">
        <v>45833.40770627315</v>
      </c>
      <c r="B26" s="12" t="s">
        <v>110</v>
      </c>
      <c r="C26" s="12" t="s">
        <v>111</v>
      </c>
      <c r="D26" s="12" t="s">
        <v>112</v>
      </c>
      <c r="E26" s="12" t="s">
        <v>21</v>
      </c>
      <c r="F26" s="13"/>
      <c r="G26" s="13"/>
      <c r="H26" s="13"/>
      <c r="I26" s="13"/>
      <c r="J26" s="13"/>
      <c r="K26" s="13"/>
      <c r="L26" s="13"/>
      <c r="M26" s="13"/>
      <c r="N26" s="13"/>
      <c r="O26" s="14">
        <f>IF(E26="Sim",VLOOKUP(D26,Tabela_1[[#ALL],[CPF]:[Que cargo você ocupa no CACS-FUNDEB?]],2,FALSE),F26)</f>
        <v>30267</v>
      </c>
      <c r="P26" s="13" t="str">
        <f>IF(E26="Sim",VLOOKUP(D26,Tabela_1[[#ALL],[CPF]:[Que cargo você ocupa no CACS-FUNDEB?]],3,FALSE),G26)</f>
        <v>(66)99625-9414</v>
      </c>
      <c r="Q26" s="13" t="str">
        <f>IF(E26="Sim",VLOOKUP(D26,Tabela_1[[#ALL],[CPF]:[Que cargo você ocupa no CACS-FUNDEB?]],4,FALSE),H26)</f>
        <v>COLÍDER</v>
      </c>
      <c r="R26" s="13" t="str">
        <f>IF(E26="Sim",VLOOKUP(D26,Tabela_1[[#ALL],[CPF]:[Que cargo você ocupa no CACS-FUNDEB?]],5,FALSE),I26)</f>
        <v>CACS-FUNDEB</v>
      </c>
    </row>
    <row r="27" ht="22.5" customHeight="1">
      <c r="A27" s="7">
        <v>45834.398111180555</v>
      </c>
      <c r="B27" s="8" t="s">
        <v>113</v>
      </c>
      <c r="C27" s="8" t="s">
        <v>114</v>
      </c>
      <c r="D27" s="8" t="s">
        <v>115</v>
      </c>
      <c r="E27" s="8" t="s">
        <v>36</v>
      </c>
      <c r="F27" s="18">
        <v>33857.0</v>
      </c>
      <c r="G27" s="8" t="s">
        <v>116</v>
      </c>
      <c r="H27" s="8" t="s">
        <v>117</v>
      </c>
      <c r="I27" s="8" t="s">
        <v>75</v>
      </c>
      <c r="J27" s="8" t="s">
        <v>118</v>
      </c>
      <c r="M27" s="8" t="s">
        <v>116</v>
      </c>
      <c r="O27" s="19">
        <f>IF(E27="Sim",VLOOKUP(D27,Tabela_1[[#ALL],[CPF]:[Que cargo você ocupa no CACS-FUNDEB?]],2,FALSE),F27)</f>
        <v>33857</v>
      </c>
      <c r="P27" s="10" t="str">
        <f>IF(E27="Sim",VLOOKUP(D27,Tabela_1[[#ALL],[CPF]:[Que cargo você ocupa no CACS-FUNDEB?]],3,FALSE),G27)</f>
        <v>(66)99914-1672</v>
      </c>
      <c r="Q27" s="10" t="str">
        <f>IF(E27="Sim",VLOOKUP(D27,Tabela_1[[#ALL],[CPF]:[Que cargo você ocupa no CACS-FUNDEB?]],4,FALSE),H27)</f>
        <v>Sinop</v>
      </c>
      <c r="R27" s="10" t="str">
        <f>IF(E27="Sim",VLOOKUP(D27,Tabela_1[[#ALL],[CPF]:[Que cargo você ocupa no CACS-FUNDEB?]],5,FALSE),I27)</f>
        <v>Gestão municipal</v>
      </c>
    </row>
    <row r="28" ht="22.5" customHeight="1">
      <c r="A28" s="7">
        <v>45834.37536613426</v>
      </c>
      <c r="B28" s="8" t="s">
        <v>119</v>
      </c>
      <c r="C28" s="8" t="s">
        <v>120</v>
      </c>
      <c r="D28" s="8" t="s">
        <v>121</v>
      </c>
      <c r="E28" s="8" t="s">
        <v>21</v>
      </c>
      <c r="M28" s="8" t="s">
        <v>122</v>
      </c>
      <c r="O28" s="9">
        <f>IF(E28="Sim",VLOOKUP(D28,Tabela_1[[#ALL],[CPF]:[Que cargo você ocupa no CACS-FUNDEB?]],2,FALSE),F28)</f>
        <v>38376</v>
      </c>
      <c r="P28" s="10" t="str">
        <f>IF(E28="Sim",VLOOKUP(D28,Tabela_1[[#ALL],[CPF]:[Que cargo você ocupa no CACS-FUNDEB?]],3,FALSE),G28)</f>
        <v>(66)99221-0876</v>
      </c>
      <c r="Q28" s="10" t="str">
        <f>IF(E28="Sim",VLOOKUP(D28,Tabela_1[[#ALL],[CPF]:[Que cargo você ocupa no CACS-FUNDEB?]],4,FALSE),H28)</f>
        <v>SINOP</v>
      </c>
      <c r="R28" s="10" t="str">
        <f>IF(E28="Sim",VLOOKUP(D28,Tabela_1[[#ALL],[CPF]:[Que cargo você ocupa no CACS-FUNDEB?]],5,FALSE),I28)</f>
        <v>Gestão municipal</v>
      </c>
    </row>
    <row r="29" ht="22.5" customHeight="1">
      <c r="A29" s="7">
        <v>45834.410535243056</v>
      </c>
      <c r="B29" s="8" t="s">
        <v>123</v>
      </c>
      <c r="C29" s="8" t="s">
        <v>124</v>
      </c>
      <c r="D29" s="8" t="s">
        <v>125</v>
      </c>
      <c r="E29" s="8" t="s">
        <v>36</v>
      </c>
      <c r="F29" s="20">
        <v>28458.0</v>
      </c>
      <c r="G29" s="8" t="s">
        <v>126</v>
      </c>
      <c r="H29" s="8" t="s">
        <v>127</v>
      </c>
      <c r="I29" s="8" t="s">
        <v>39</v>
      </c>
      <c r="J29" s="8" t="s">
        <v>128</v>
      </c>
      <c r="M29" s="8" t="s">
        <v>126</v>
      </c>
      <c r="O29" s="21">
        <f>IF(E29="Sim",VLOOKUP(D29,Tabela_1[[#ALL],[CPF]:[Que cargo você ocupa no CACS-FUNDEB?]],2,FALSE),F29)</f>
        <v>28458</v>
      </c>
      <c r="P29" s="10" t="str">
        <f>IF(E29="Sim",VLOOKUP(D29,Tabela_1[[#ALL],[CPF]:[Que cargo você ocupa no CACS-FUNDEB?]],3,FALSE),G29)</f>
        <v>(66)99966-6774</v>
      </c>
      <c r="Q29" s="10" t="str">
        <f>IF(E29="Sim",VLOOKUP(D29,Tabela_1[[#ALL],[CPF]:[Que cargo você ocupa no CACS-FUNDEB?]],4,FALSE),H29)</f>
        <v>Peixoto de azevedo</v>
      </c>
      <c r="R29" s="10" t="str">
        <f>IF(E29="Sim",VLOOKUP(D29,Tabela_1[[#ALL],[CPF]:[Que cargo você ocupa no CACS-FUNDEB?]],5,FALSE),I29)</f>
        <v>Gestão municipal </v>
      </c>
    </row>
    <row r="30" ht="22.5" customHeight="1">
      <c r="A30" s="7">
        <v>45834.44320734954</v>
      </c>
      <c r="B30" s="8" t="s">
        <v>129</v>
      </c>
      <c r="C30" s="8" t="s">
        <v>130</v>
      </c>
      <c r="D30" s="8" t="s">
        <v>131</v>
      </c>
      <c r="E30" s="8" t="s">
        <v>21</v>
      </c>
      <c r="M30" s="8" t="s">
        <v>132</v>
      </c>
      <c r="O30" s="9">
        <f>IF(E30="Sim",VLOOKUP(D30,Tabela_1[[#ALL],[CPF]:[Que cargo você ocupa no CACS-FUNDEB?]],2,FALSE),F30)</f>
        <v>33795</v>
      </c>
      <c r="P30" s="10" t="str">
        <f>IF(E30="Sim",VLOOKUP(D30,Tabela_1[[#ALL],[CPF]:[Que cargo você ocupa no CACS-FUNDEB?]],3,FALSE),G30)</f>
        <v>(66)99624-2997</v>
      </c>
      <c r="Q30" s="10" t="str">
        <f>IF(E30="Sim",VLOOKUP(D30,Tabela_1[[#ALL],[CPF]:[Que cargo você ocupa no CACS-FUNDEB?]],4,FALSE),H30)</f>
        <v>TERRA NOVA DO NORTE</v>
      </c>
      <c r="R30" s="10" t="str">
        <f>IF(E30="Sim",VLOOKUP(D30,Tabela_1[[#ALL],[CPF]:[Que cargo você ocupa no CACS-FUNDEB?]],5,FALSE),I30)</f>
        <v>Gestão municipal</v>
      </c>
    </row>
    <row r="31" ht="22.5" customHeight="1">
      <c r="A31" s="7">
        <v>45833.73294001157</v>
      </c>
      <c r="B31" s="8" t="s">
        <v>133</v>
      </c>
      <c r="C31" s="8" t="s">
        <v>134</v>
      </c>
      <c r="D31" s="8" t="s">
        <v>135</v>
      </c>
      <c r="E31" s="8" t="s">
        <v>21</v>
      </c>
      <c r="M31" s="8" t="s">
        <v>136</v>
      </c>
      <c r="O31" s="9">
        <f>IF(E31="Sim",VLOOKUP(D31,Tabela_1[[#ALL],[CPF]:[Que cargo você ocupa no CACS-FUNDEB?]],2,FALSE),F31)</f>
        <v>24163</v>
      </c>
      <c r="P31" s="10" t="str">
        <f>IF(E31="Sim",VLOOKUP(D31,Tabela_1[[#ALL],[CPF]:[Que cargo você ocupa no CACS-FUNDEB?]],3,FALSE),G31)</f>
        <v>(66)99662-4168</v>
      </c>
      <c r="Q31" s="10" t="str">
        <f>IF(E31="Sim",VLOOKUP(D31,Tabela_1[[#ALL],[CPF]:[Que cargo você ocupa no CACS-FUNDEB?]],4,FALSE),H31)</f>
        <v>GUARANTÃ DO NORTE</v>
      </c>
      <c r="R31" s="10" t="str">
        <f>IF(E31="Sim",VLOOKUP(D31,Tabela_1[[#ALL],[CPF]:[Que cargo você ocupa no CACS-FUNDEB?]],5,FALSE),I31)</f>
        <v>CACS-FUNDEB</v>
      </c>
    </row>
    <row r="32" ht="22.5" customHeight="1">
      <c r="A32" s="11">
        <v>45833.381738703705</v>
      </c>
      <c r="B32" s="12" t="s">
        <v>137</v>
      </c>
      <c r="C32" s="12" t="s">
        <v>138</v>
      </c>
      <c r="D32" s="12" t="s">
        <v>139</v>
      </c>
      <c r="E32" s="12" t="s">
        <v>36</v>
      </c>
      <c r="F32" s="15">
        <v>32228.0</v>
      </c>
      <c r="G32" s="12" t="s">
        <v>140</v>
      </c>
      <c r="H32" s="12" t="s">
        <v>141</v>
      </c>
      <c r="I32" s="12" t="s">
        <v>39</v>
      </c>
      <c r="J32" s="12" t="s">
        <v>142</v>
      </c>
      <c r="K32" s="13"/>
      <c r="L32" s="13"/>
      <c r="M32" s="13"/>
      <c r="N32" s="13"/>
      <c r="O32" s="16">
        <f>IF(E32="Sim",VLOOKUP(D32,Tabela_1[[#ALL],[CPF]:[Que cargo você ocupa no CACS-FUNDEB?]],2,FALSE),F32)</f>
        <v>32228</v>
      </c>
      <c r="P32" s="13" t="str">
        <f>IF(E32="Sim",VLOOKUP(D32,Tabela_1[[#ALL],[CPF]:[Que cargo você ocupa no CACS-FUNDEB?]],3,FALSE),G32)</f>
        <v>(66)999513-1479</v>
      </c>
      <c r="Q32" s="13" t="str">
        <f>IF(E32="Sim",VLOOKUP(D32,Tabela_1[[#ALL],[CPF]:[Que cargo você ocupa no CACS-FUNDEB?]],4,FALSE),H32)</f>
        <v>Feliz Natal </v>
      </c>
      <c r="R32" s="13" t="str">
        <f>IF(E32="Sim",VLOOKUP(D32,Tabela_1[[#ALL],[CPF]:[Que cargo você ocupa no CACS-FUNDEB?]],5,FALSE),I32)</f>
        <v>Gestão municipal </v>
      </c>
    </row>
    <row r="33" ht="22.5" customHeight="1">
      <c r="A33" s="11">
        <v>45833.405138981485</v>
      </c>
      <c r="B33" s="12" t="s">
        <v>143</v>
      </c>
      <c r="C33" s="12" t="s">
        <v>144</v>
      </c>
      <c r="D33" s="12" t="s">
        <v>145</v>
      </c>
      <c r="E33" s="12" t="s">
        <v>21</v>
      </c>
      <c r="F33" s="13"/>
      <c r="G33" s="13"/>
      <c r="H33" s="13"/>
      <c r="I33" s="13"/>
      <c r="J33" s="13"/>
      <c r="K33" s="13"/>
      <c r="L33" s="13"/>
      <c r="M33" s="13"/>
      <c r="N33" s="13"/>
      <c r="O33" s="14">
        <f>IF(E33="Sim",VLOOKUP(D33,Tabela_1[[#ALL],[CPF]:[Que cargo você ocupa no CACS-FUNDEB?]],2,FALSE),F33)</f>
        <v>29455</v>
      </c>
      <c r="P33" s="13" t="str">
        <f>IF(E33="Sim",VLOOKUP(D33,Tabela_1[[#ALL],[CPF]:[Que cargo você ocupa no CACS-FUNDEB?]],3,FALSE),G33)</f>
        <v>(66)99986-6165</v>
      </c>
      <c r="Q33" s="13" t="str">
        <f>IF(E33="Sim",VLOOKUP(D33,Tabela_1[[#ALL],[CPF]:[Que cargo você ocupa no CACS-FUNDEB?]],4,FALSE),H33)</f>
        <v>SORRISO</v>
      </c>
      <c r="R33" s="13" t="str">
        <f>IF(E33="Sim",VLOOKUP(D33,Tabela_1[[#ALL],[CPF]:[Que cargo você ocupa no CACS-FUNDEB?]],5,FALSE),I33)</f>
        <v>CACS-FUNDEB</v>
      </c>
    </row>
    <row r="34" ht="22.5" customHeight="1">
      <c r="A34" s="11">
        <v>45833.403746192125</v>
      </c>
      <c r="B34" s="12" t="s">
        <v>146</v>
      </c>
      <c r="C34" s="12" t="s">
        <v>147</v>
      </c>
      <c r="D34" s="12" t="s">
        <v>148</v>
      </c>
      <c r="E34" s="12" t="s">
        <v>21</v>
      </c>
      <c r="F34" s="13"/>
      <c r="G34" s="13"/>
      <c r="H34" s="13"/>
      <c r="I34" s="13"/>
      <c r="J34" s="13"/>
      <c r="K34" s="13"/>
      <c r="L34" s="13"/>
      <c r="M34" s="13"/>
      <c r="N34" s="13"/>
      <c r="O34" s="14">
        <f>IF(E34="Sim",VLOOKUP(D34,Tabela_1[[#ALL],[CPF]:[Que cargo você ocupa no CACS-FUNDEB?]],2,FALSE),F34)</f>
        <v>35517</v>
      </c>
      <c r="P34" s="13" t="str">
        <f>IF(E34="Sim",VLOOKUP(D34,Tabela_1[[#ALL],[CPF]:[Que cargo você ocupa no CACS-FUNDEB?]],3,FALSE),G34)</f>
        <v>(66)98128-9477</v>
      </c>
      <c r="Q34" s="13" t="str">
        <f>IF(E34="Sim",VLOOKUP(D34,Tabela_1[[#ALL],[CPF]:[Que cargo você ocupa no CACS-FUNDEB?]],4,FALSE),H34)</f>
        <v>NOVA MARINGÁ</v>
      </c>
      <c r="R34" s="13" t="str">
        <f>IF(E34="Sim",VLOOKUP(D34,Tabela_1[[#ALL],[CPF]:[Que cargo você ocupa no CACS-FUNDEB?]],5,FALSE),I34)</f>
        <v>CACS-FUNDEB</v>
      </c>
    </row>
    <row r="35" ht="22.5" customHeight="1">
      <c r="A35" s="11">
        <v>45833.37649846065</v>
      </c>
      <c r="B35" s="12" t="s">
        <v>149</v>
      </c>
      <c r="C35" s="12" t="s">
        <v>150</v>
      </c>
      <c r="D35" s="12" t="s">
        <v>151</v>
      </c>
      <c r="E35" s="12" t="s">
        <v>21</v>
      </c>
      <c r="F35" s="13"/>
      <c r="G35" s="13"/>
      <c r="H35" s="13"/>
      <c r="I35" s="13"/>
      <c r="J35" s="13"/>
      <c r="K35" s="13"/>
      <c r="L35" s="13"/>
      <c r="M35" s="13"/>
      <c r="N35" s="13"/>
      <c r="O35" s="14">
        <f>IF(E35="Sim",VLOOKUP(D35,Tabela_1[[#ALL],[CPF]:[Que cargo você ocupa no CACS-FUNDEB?]],2,FALSE),F35)</f>
        <v>34437</v>
      </c>
      <c r="P35" s="13" t="str">
        <f>IF(E35="Sim",VLOOKUP(D35,Tabela_1[[#ALL],[CPF]:[Que cargo você ocupa no CACS-FUNDEB?]],3,FALSE),G35)</f>
        <v>(66)98443-1093</v>
      </c>
      <c r="Q35" s="13" t="str">
        <f>IF(E35="Sim",VLOOKUP(D35,Tabela_1[[#ALL],[CPF]:[Que cargo você ocupa no CACS-FUNDEB?]],4,FALSE),H35)</f>
        <v>NOVA GUARITA</v>
      </c>
      <c r="R35" s="13" t="str">
        <f>IF(E35="Sim",VLOOKUP(D35,Tabela_1[[#ALL],[CPF]:[Que cargo você ocupa no CACS-FUNDEB?]],5,FALSE),I35)</f>
        <v>CACS-FUNDEB</v>
      </c>
    </row>
    <row r="36" ht="22.5" customHeight="1">
      <c r="A36" s="11">
        <v>45833.40312351852</v>
      </c>
      <c r="B36" s="12" t="s">
        <v>149</v>
      </c>
      <c r="C36" s="12" t="s">
        <v>152</v>
      </c>
      <c r="D36" s="12" t="s">
        <v>151</v>
      </c>
      <c r="E36" s="12" t="s">
        <v>21</v>
      </c>
      <c r="F36" s="13"/>
      <c r="G36" s="13"/>
      <c r="H36" s="13"/>
      <c r="I36" s="13"/>
      <c r="J36" s="13"/>
      <c r="K36" s="13"/>
      <c r="L36" s="13"/>
      <c r="M36" s="13"/>
      <c r="N36" s="13"/>
      <c r="O36" s="14">
        <f>IF(E36="Sim",VLOOKUP(D36,Tabela_1[[#ALL],[CPF]:[Que cargo você ocupa no CACS-FUNDEB?]],2,FALSE),F36)</f>
        <v>34437</v>
      </c>
      <c r="P36" s="13" t="str">
        <f>IF(E36="Sim",VLOOKUP(D36,Tabela_1[[#ALL],[CPF]:[Que cargo você ocupa no CACS-FUNDEB?]],3,FALSE),G36)</f>
        <v>(66)98443-1093</v>
      </c>
      <c r="Q36" s="13" t="str">
        <f>IF(E36="Sim",VLOOKUP(D36,Tabela_1[[#ALL],[CPF]:[Que cargo você ocupa no CACS-FUNDEB?]],4,FALSE),H36)</f>
        <v>NOVA GUARITA</v>
      </c>
      <c r="R36" s="13" t="str">
        <f>IF(E36="Sim",VLOOKUP(D36,Tabela_1[[#ALL],[CPF]:[Que cargo você ocupa no CACS-FUNDEB?]],5,FALSE),I36)</f>
        <v>CACS-FUNDEB</v>
      </c>
    </row>
    <row r="37" ht="22.5" customHeight="1">
      <c r="A37" s="7">
        <v>45834.37704633102</v>
      </c>
      <c r="B37" s="8" t="s">
        <v>153</v>
      </c>
      <c r="C37" s="8" t="s">
        <v>154</v>
      </c>
      <c r="D37" s="8" t="s">
        <v>155</v>
      </c>
      <c r="E37" s="8" t="s">
        <v>21</v>
      </c>
      <c r="M37" s="8" t="s">
        <v>156</v>
      </c>
      <c r="O37" s="9">
        <f>IF(E37="Sim",VLOOKUP(D37,Tabela_1[[#ALL],[CPF]:[Que cargo você ocupa no CACS-FUNDEB?]],2,FALSE),F37)</f>
        <v>32554</v>
      </c>
      <c r="P37" s="10" t="str">
        <f>IF(E37="Sim",VLOOKUP(D37,Tabela_1[[#ALL],[CPF]:[Que cargo você ocupa no CACS-FUNDEB?]],3,FALSE),G37)</f>
        <v>(66)99641-2813</v>
      </c>
      <c r="Q37" s="10" t="str">
        <f>IF(E37="Sim",VLOOKUP(D37,Tabela_1[[#ALL],[CPF]:[Que cargo você ocupa no CACS-FUNDEB?]],4,FALSE),H37)</f>
        <v>NOVO MUNDO</v>
      </c>
      <c r="R37" s="10" t="str">
        <f>IF(E37="Sim",VLOOKUP(D37,Tabela_1[[#ALL],[CPF]:[Que cargo você ocupa no CACS-FUNDEB?]],5,FALSE),I37)</f>
        <v>CACS-FUNDEB</v>
      </c>
    </row>
    <row r="38" ht="22.5" customHeight="1">
      <c r="A38" s="7">
        <v>45834.37545070602</v>
      </c>
      <c r="B38" s="8" t="s">
        <v>157</v>
      </c>
      <c r="C38" s="8" t="s">
        <v>158</v>
      </c>
      <c r="D38" s="8" t="s">
        <v>155</v>
      </c>
      <c r="E38" s="8" t="s">
        <v>21</v>
      </c>
      <c r="M38" s="8" t="s">
        <v>156</v>
      </c>
      <c r="O38" s="9">
        <f>IF(E38="Sim",VLOOKUP(D38,Tabela_1[[#ALL],[CPF]:[Que cargo você ocupa no CACS-FUNDEB?]],2,FALSE),F38)</f>
        <v>32554</v>
      </c>
      <c r="P38" s="10" t="str">
        <f>IF(E38="Sim",VLOOKUP(D38,Tabela_1[[#ALL],[CPF]:[Que cargo você ocupa no CACS-FUNDEB?]],3,FALSE),G38)</f>
        <v>(66)99641-2813</v>
      </c>
      <c r="Q38" s="10" t="str">
        <f>IF(E38="Sim",VLOOKUP(D38,Tabela_1[[#ALL],[CPF]:[Que cargo você ocupa no CACS-FUNDEB?]],4,FALSE),H38)</f>
        <v>NOVO MUNDO</v>
      </c>
      <c r="R38" s="10" t="str">
        <f>IF(E38="Sim",VLOOKUP(D38,Tabela_1[[#ALL],[CPF]:[Que cargo você ocupa no CACS-FUNDEB?]],5,FALSE),I38)</f>
        <v>CACS-FUNDEB</v>
      </c>
    </row>
    <row r="39" ht="22.5" customHeight="1">
      <c r="A39" s="7">
        <v>45833.416050127315</v>
      </c>
      <c r="B39" s="8" t="s">
        <v>159</v>
      </c>
      <c r="C39" s="8" t="s">
        <v>160</v>
      </c>
      <c r="D39" s="8" t="s">
        <v>161</v>
      </c>
      <c r="E39" s="8" t="s">
        <v>21</v>
      </c>
      <c r="O39" s="9">
        <f>IF(E39="Sim",VLOOKUP(D39,Tabela_1[[#ALL],[CPF]:[Que cargo você ocupa no CACS-FUNDEB?]],2,FALSE),F39)</f>
        <v>29016</v>
      </c>
      <c r="P39" s="10" t="str">
        <f>IF(E39="Sim",VLOOKUP(D39,Tabela_1[[#ALL],[CPF]:[Que cargo você ocupa no CACS-FUNDEB?]],3,FALSE),G39)</f>
        <v>(66)99283-0493</v>
      </c>
      <c r="Q39" s="10" t="str">
        <f>IF(E39="Sim",VLOOKUP(D39,Tabela_1[[#ALL],[CPF]:[Que cargo você ocupa no CACS-FUNDEB?]],4,FALSE),H39)</f>
        <v>ALTA FLORESTA</v>
      </c>
      <c r="R39" s="10" t="str">
        <f>IF(E39="Sim",VLOOKUP(D39,Tabela_1[[#ALL],[CPF]:[Que cargo você ocupa no CACS-FUNDEB?]],5,FALSE),I39)</f>
        <v>CACS-FUNDEB</v>
      </c>
    </row>
    <row r="40" ht="22.5" customHeight="1">
      <c r="A40" s="11">
        <v>45833.382144560186</v>
      </c>
      <c r="B40" s="12" t="s">
        <v>162</v>
      </c>
      <c r="C40" s="12" t="s">
        <v>163</v>
      </c>
      <c r="D40" s="12" t="s">
        <v>164</v>
      </c>
      <c r="E40" s="12" t="s">
        <v>21</v>
      </c>
      <c r="F40" s="13"/>
      <c r="G40" s="13"/>
      <c r="H40" s="13"/>
      <c r="I40" s="13"/>
      <c r="J40" s="13"/>
      <c r="K40" s="13"/>
      <c r="L40" s="13"/>
      <c r="M40" s="13"/>
      <c r="N40" s="13"/>
      <c r="O40" s="14">
        <f>IF(E40="Sim",VLOOKUP(D40,Tabela_1[[#ALL],[CPF]:[Que cargo você ocupa no CACS-FUNDEB?]],2,FALSE),F40)</f>
        <v>30103</v>
      </c>
      <c r="P40" s="13" t="str">
        <f>IF(E40="Sim",VLOOKUP(D40,Tabela_1[[#ALL],[CPF]:[Que cargo você ocupa no CACS-FUNDEB?]],3,FALSE),G40)</f>
        <v>(66)99959-7479</v>
      </c>
      <c r="Q40" s="13" t="str">
        <f>IF(E40="Sim",VLOOKUP(D40,Tabela_1[[#ALL],[CPF]:[Que cargo você ocupa no CACS-FUNDEB?]],4,FALSE),H40)</f>
        <v>FELIZ NATAL</v>
      </c>
      <c r="R40" s="13" t="str">
        <f>IF(E40="Sim",VLOOKUP(D40,Tabela_1[[#ALL],[CPF]:[Que cargo você ocupa no CACS-FUNDEB?]],5,FALSE),I40)</f>
        <v>CACS-FUNDEB</v>
      </c>
    </row>
    <row r="41" ht="22.5" customHeight="1">
      <c r="A41" s="7">
        <v>45834.41469895834</v>
      </c>
      <c r="B41" s="8" t="s">
        <v>165</v>
      </c>
      <c r="C41" s="8" t="s">
        <v>166</v>
      </c>
      <c r="D41" s="8" t="s">
        <v>167</v>
      </c>
      <c r="E41" s="8" t="s">
        <v>21</v>
      </c>
      <c r="M41" s="8" t="s">
        <v>168</v>
      </c>
      <c r="O41" s="9">
        <f>IF(E41="Sim",VLOOKUP(D41,Tabela_1[[#ALL],[CPF]:[Que cargo você ocupa no CACS-FUNDEB?]],2,FALSE),F41)</f>
        <v>30134</v>
      </c>
      <c r="P41" s="10" t="str">
        <f>IF(E41="Sim",VLOOKUP(D41,Tabela_1[[#ALL],[CPF]:[Que cargo você ocupa no CACS-FUNDEB?]],3,FALSE),G41)</f>
        <v>(66)99205-3703</v>
      </c>
      <c r="Q41" s="10" t="str">
        <f>IF(E41="Sim",VLOOKUP(D41,Tabela_1[[#ALL],[CPF]:[Que cargo você ocupa no CACS-FUNDEB?]],4,FALSE),H41)</f>
        <v>UNIÃO DO SUL</v>
      </c>
      <c r="R41" s="10" t="str">
        <f>IF(E41="Sim",VLOOKUP(D41,Tabela_1[[#ALL],[CPF]:[Que cargo você ocupa no CACS-FUNDEB?]],5,FALSE),I41)</f>
        <v>Gestão municipal</v>
      </c>
    </row>
    <row r="42" ht="22.5" customHeight="1">
      <c r="A42" s="11">
        <v>45833.40787185185</v>
      </c>
      <c r="B42" s="12" t="s">
        <v>169</v>
      </c>
      <c r="C42" s="12" t="s">
        <v>170</v>
      </c>
      <c r="D42" s="12" t="s">
        <v>171</v>
      </c>
      <c r="E42" s="12" t="s">
        <v>21</v>
      </c>
      <c r="F42" s="13"/>
      <c r="G42" s="13"/>
      <c r="H42" s="13"/>
      <c r="I42" s="13"/>
      <c r="J42" s="13"/>
      <c r="K42" s="13"/>
      <c r="L42" s="13"/>
      <c r="M42" s="13"/>
      <c r="N42" s="13"/>
      <c r="O42" s="14">
        <f>IF(E42="Sim",VLOOKUP(D42,Tabela_1[[#ALL],[CPF]:[Que cargo você ocupa no CACS-FUNDEB?]],2,FALSE),F42)</f>
        <v>29502</v>
      </c>
      <c r="P42" s="13" t="str">
        <f>IF(E42="Sim",VLOOKUP(D42,Tabela_1[[#ALL],[CPF]:[Que cargo você ocupa no CACS-FUNDEB?]],3,FALSE),G42)</f>
        <v>(66)99675-7252</v>
      </c>
      <c r="Q42" s="13" t="str">
        <f>IF(E42="Sim",VLOOKUP(D42,Tabela_1[[#ALL],[CPF]:[Que cargo você ocupa no CACS-FUNDEB?]],4,FALSE),H42)</f>
        <v>COLÍDER</v>
      </c>
      <c r="R42" s="13" t="str">
        <f>IF(E42="Sim",VLOOKUP(D42,Tabela_1[[#ALL],[CPF]:[Que cargo você ocupa no CACS-FUNDEB?]],5,FALSE),I42)</f>
        <v>Gestão municipal</v>
      </c>
    </row>
    <row r="43" ht="22.5" customHeight="1">
      <c r="A43" s="7">
        <v>45834.412267824075</v>
      </c>
      <c r="B43" s="8" t="s">
        <v>172</v>
      </c>
      <c r="C43" s="8" t="s">
        <v>173</v>
      </c>
      <c r="D43" s="8" t="s">
        <v>174</v>
      </c>
      <c r="E43" s="8" t="s">
        <v>21</v>
      </c>
      <c r="M43" s="8" t="s">
        <v>175</v>
      </c>
      <c r="O43" s="9">
        <f>IF(E43="Sim",VLOOKUP(D43,Tabela_1[[#ALL],[CPF]:[Que cargo você ocupa no CACS-FUNDEB?]],2,FALSE),F43)</f>
        <v>29099</v>
      </c>
      <c r="P43" s="10" t="str">
        <f>IF(E43="Sim",VLOOKUP(D43,Tabela_1[[#ALL],[CPF]:[Que cargo você ocupa no CACS-FUNDEB?]],3,FALSE),G43)</f>
        <v>(65)99225-6693</v>
      </c>
      <c r="Q43" s="10" t="str">
        <f>IF(E43="Sim",VLOOKUP(D43,Tabela_1[[#ALL],[CPF]:[Que cargo você ocupa no CACS-FUNDEB?]],4,FALSE),H43)</f>
        <v>SÃO JOSÉ DO RIO CLARO</v>
      </c>
      <c r="R43" s="10" t="str">
        <f>IF(E43="Sim",VLOOKUP(D43,Tabela_1[[#ALL],[CPF]:[Que cargo você ocupa no CACS-FUNDEB?]],5,FALSE),I43)</f>
        <v>CACS-FUNDEB</v>
      </c>
    </row>
    <row r="44" ht="22.5" customHeight="1">
      <c r="A44" s="11">
        <v>45833.40670979167</v>
      </c>
      <c r="B44" s="12" t="s">
        <v>176</v>
      </c>
      <c r="C44" s="12" t="s">
        <v>177</v>
      </c>
      <c r="D44" s="12" t="s">
        <v>178</v>
      </c>
      <c r="E44" s="12" t="s">
        <v>21</v>
      </c>
      <c r="F44" s="13"/>
      <c r="G44" s="13"/>
      <c r="H44" s="13"/>
      <c r="I44" s="13"/>
      <c r="J44" s="13"/>
      <c r="K44" s="13"/>
      <c r="L44" s="13"/>
      <c r="M44" s="13"/>
      <c r="N44" s="13"/>
      <c r="O44" s="14">
        <f>IF(E44="Sim",VLOOKUP(D44,Tabela_1[[#ALL],[CPF]:[Que cargo você ocupa no CACS-FUNDEB?]],2,FALSE),F44)</f>
        <v>29275</v>
      </c>
      <c r="P44" s="13" t="str">
        <f>IF(E44="Sim",VLOOKUP(D44,Tabela_1[[#ALL],[CPF]:[Que cargo você ocupa no CACS-FUNDEB?]],3,FALSE),G44)</f>
        <v>(66)98453-5699</v>
      </c>
      <c r="Q44" s="13" t="str">
        <f>IF(E44="Sim",VLOOKUP(D44,Tabela_1[[#ALL],[CPF]:[Que cargo você ocupa no CACS-FUNDEB?]],4,FALSE),H44)</f>
        <v>ITANHANGÁ</v>
      </c>
      <c r="R44" s="13" t="str">
        <f>IF(E44="Sim",VLOOKUP(D44,Tabela_1[[#ALL],[CPF]:[Que cargo você ocupa no CACS-FUNDEB?]],5,FALSE),I44)</f>
        <v>Gestão municipal</v>
      </c>
    </row>
    <row r="45" ht="22.5" customHeight="1">
      <c r="A45" s="7">
        <v>45833.41714608796</v>
      </c>
      <c r="B45" s="8" t="s">
        <v>179</v>
      </c>
      <c r="C45" s="8" t="s">
        <v>180</v>
      </c>
      <c r="D45" s="8" t="s">
        <v>181</v>
      </c>
      <c r="E45" s="8" t="s">
        <v>21</v>
      </c>
      <c r="O45" s="9">
        <f>IF(E45="Sim",VLOOKUP(D45,Tabela_1[[#ALL],[CPF]:[Que cargo você ocupa no CACS-FUNDEB?]],2,FALSE),F45)</f>
        <v>28454</v>
      </c>
      <c r="P45" s="10" t="str">
        <f>IF(E45="Sim",VLOOKUP(D45,Tabela_1[[#ALL],[CPF]:[Que cargo você ocupa no CACS-FUNDEB?]],3,FALSE),G45)</f>
        <v>(66)99242-3526</v>
      </c>
      <c r="Q45" s="10" t="str">
        <f>IF(E45="Sim",VLOOKUP(D45,Tabela_1[[#ALL],[CPF]:[Que cargo você ocupa no CACS-FUNDEB?]],4,FALSE),H45)</f>
        <v>ALTA FLORESTA</v>
      </c>
      <c r="R45" s="10" t="str">
        <f>IF(E45="Sim",VLOOKUP(D45,Tabela_1[[#ALL],[CPF]:[Que cargo você ocupa no CACS-FUNDEB?]],5,FALSE),I45)</f>
        <v>CACS-FUNDEB</v>
      </c>
    </row>
    <row r="46" ht="22.5" customHeight="1">
      <c r="A46" s="11">
        <v>45833.405259548614</v>
      </c>
      <c r="B46" s="12" t="s">
        <v>182</v>
      </c>
      <c r="C46" s="12" t="s">
        <v>183</v>
      </c>
      <c r="D46" s="12" t="s">
        <v>184</v>
      </c>
      <c r="E46" s="12" t="s">
        <v>21</v>
      </c>
      <c r="F46" s="13"/>
      <c r="G46" s="13"/>
      <c r="H46" s="13"/>
      <c r="I46" s="13"/>
      <c r="J46" s="13"/>
      <c r="K46" s="13"/>
      <c r="L46" s="13"/>
      <c r="M46" s="13"/>
      <c r="N46" s="13"/>
      <c r="O46" s="14">
        <f>IF(E46="Sim",VLOOKUP(D46,Tabela_1[[#ALL],[CPF]:[Que cargo você ocupa no CACS-FUNDEB?]],2,FALSE),F46)</f>
        <v>25882</v>
      </c>
      <c r="P46" s="13" t="str">
        <f>IF(E46="Sim",VLOOKUP(D46,Tabela_1[[#ALL],[CPF]:[Que cargo você ocupa no CACS-FUNDEB?]],3,FALSE),G46)</f>
        <v>(66)99985-6712</v>
      </c>
      <c r="Q46" s="13" t="str">
        <f>IF(E46="Sim",VLOOKUP(D46,Tabela_1[[#ALL],[CPF]:[Que cargo você ocupa no CACS-FUNDEB?]],4,FALSE),H46)</f>
        <v>SORRISO</v>
      </c>
      <c r="R46" s="13" t="str">
        <f>IF(E46="Sim",VLOOKUP(D46,Tabela_1[[#ALL],[CPF]:[Que cargo você ocupa no CACS-FUNDEB?]],5,FALSE),I46)</f>
        <v>CACS-FUNDEB</v>
      </c>
    </row>
    <row r="47" ht="22.5" customHeight="1">
      <c r="A47" s="7">
        <v>45834.37154064815</v>
      </c>
      <c r="B47" s="8" t="s">
        <v>185</v>
      </c>
      <c r="C47" s="8" t="s">
        <v>186</v>
      </c>
      <c r="D47" s="8" t="s">
        <v>187</v>
      </c>
      <c r="E47" s="8" t="s">
        <v>21</v>
      </c>
      <c r="M47" s="8" t="s">
        <v>188</v>
      </c>
      <c r="O47" s="9">
        <f>IF(E47="Sim",VLOOKUP(D47,Tabela_1[[#ALL],[CPF]:[Que cargo você ocupa no CACS-FUNDEB?]],2,FALSE),F47)</f>
        <v>30249</v>
      </c>
      <c r="P47" s="10" t="str">
        <f>IF(E47="Sim",VLOOKUP(D47,Tabela_1[[#ALL],[CPF]:[Que cargo você ocupa no CACS-FUNDEB?]],3,FALSE),G47)</f>
        <v>(66)99202-8229</v>
      </c>
      <c r="Q47" s="10" t="str">
        <f>IF(E47="Sim",VLOOKUP(D47,Tabela_1[[#ALL],[CPF]:[Que cargo você ocupa no CACS-FUNDEB?]],4,FALSE),H47)</f>
        <v>NOVO MUNDO</v>
      </c>
      <c r="R47" s="10" t="str">
        <f>IF(E47="Sim",VLOOKUP(D47,Tabela_1[[#ALL],[CPF]:[Que cargo você ocupa no CACS-FUNDEB?]],5,FALSE),I47)</f>
        <v>Gestão municipal</v>
      </c>
    </row>
    <row r="48" ht="22.5" customHeight="1">
      <c r="A48" s="7">
        <v>45834.445198692134</v>
      </c>
      <c r="B48" s="8" t="s">
        <v>189</v>
      </c>
      <c r="C48" s="8" t="s">
        <v>190</v>
      </c>
      <c r="D48" s="8" t="s">
        <v>191</v>
      </c>
      <c r="E48" s="8" t="s">
        <v>21</v>
      </c>
      <c r="M48" s="8" t="s">
        <v>192</v>
      </c>
      <c r="O48" s="9">
        <f>IF(E48="Sim",VLOOKUP(D48,Tabela_1[[#ALL],[CPF]:[Que cargo você ocupa no CACS-FUNDEB?]],2,FALSE),F48)</f>
        <v>26517</v>
      </c>
      <c r="P48" s="10" t="str">
        <f>IF(E48="Sim",VLOOKUP(D48,Tabela_1[[#ALL],[CPF]:[Que cargo você ocupa no CACS-FUNDEB?]],3,FALSE),G48)</f>
        <v>(66)99999-0901</v>
      </c>
      <c r="Q48" s="10" t="str">
        <f>IF(E48="Sim",VLOOKUP(D48,Tabela_1[[#ALL],[CPF]:[Que cargo você ocupa no CACS-FUNDEB?]],4,FALSE),H48)</f>
        <v>TERRA NOVA DO NORTE</v>
      </c>
      <c r="R48" s="10" t="str">
        <f>IF(E48="Sim",VLOOKUP(D48,Tabela_1[[#ALL],[CPF]:[Que cargo você ocupa no CACS-FUNDEB?]],5,FALSE),I48)</f>
        <v>CACS-FUNDEB</v>
      </c>
    </row>
    <row r="49" ht="22.5" customHeight="1">
      <c r="A49" s="11">
        <v>45833.409494479165</v>
      </c>
      <c r="B49" s="12" t="s">
        <v>193</v>
      </c>
      <c r="C49" s="12" t="s">
        <v>194</v>
      </c>
      <c r="D49" s="12" t="s">
        <v>195</v>
      </c>
      <c r="E49" s="12" t="s">
        <v>21</v>
      </c>
      <c r="F49" s="13"/>
      <c r="G49" s="13"/>
      <c r="H49" s="13"/>
      <c r="I49" s="13"/>
      <c r="J49" s="13"/>
      <c r="K49" s="13"/>
      <c r="L49" s="13"/>
      <c r="M49" s="13"/>
      <c r="N49" s="13"/>
      <c r="O49" s="14">
        <f>IF(E49="Sim",VLOOKUP(D49,Tabela_1[[#ALL],[CPF]:[Que cargo você ocupa no CACS-FUNDEB?]],2,FALSE),F49)</f>
        <v>37484</v>
      </c>
      <c r="P49" s="13" t="str">
        <f>IF(E49="Sim",VLOOKUP(D49,Tabela_1[[#ALL],[CPF]:[Que cargo você ocupa no CACS-FUNDEB?]],3,FALSE),G49)</f>
        <v>(66)99973-3820</v>
      </c>
      <c r="Q49" s="13" t="str">
        <f>IF(E49="Sim",VLOOKUP(D49,Tabela_1[[#ALL],[CPF]:[Que cargo você ocupa no CACS-FUNDEB?]],4,FALSE),H49)</f>
        <v>GUARANTÃ DO NORTE</v>
      </c>
      <c r="R49" s="13" t="str">
        <f>IF(E49="Sim",VLOOKUP(D49,Tabela_1[[#ALL],[CPF]:[Que cargo você ocupa no CACS-FUNDEB?]],5,FALSE),I49)</f>
        <v>Gestão municipal</v>
      </c>
    </row>
    <row r="50" ht="22.5" customHeight="1">
      <c r="A50" s="7">
        <v>45834.41123331018</v>
      </c>
      <c r="B50" s="8" t="s">
        <v>196</v>
      </c>
      <c r="C50" s="8" t="s">
        <v>197</v>
      </c>
      <c r="D50" s="8" t="s">
        <v>198</v>
      </c>
      <c r="E50" s="8" t="s">
        <v>36</v>
      </c>
      <c r="F50" s="18">
        <v>30171.0</v>
      </c>
      <c r="G50" s="8" t="s">
        <v>199</v>
      </c>
      <c r="H50" s="8" t="s">
        <v>200</v>
      </c>
      <c r="I50" s="8" t="s">
        <v>39</v>
      </c>
      <c r="J50" s="8" t="s">
        <v>201</v>
      </c>
      <c r="M50" s="8" t="s">
        <v>199</v>
      </c>
      <c r="O50" s="19">
        <f>IF(E50="Sim",VLOOKUP(D50,Tabela_1[[#ALL],[CPF]:[Que cargo você ocupa no CACS-FUNDEB?]],2,FALSE),F50)</f>
        <v>30171</v>
      </c>
      <c r="P50" s="10" t="str">
        <f>IF(E50="Sim",VLOOKUP(D50,Tabela_1[[#ALL],[CPF]:[Que cargo você ocupa no CACS-FUNDEB?]],3,FALSE),G50)</f>
        <v>(65)99669-0433</v>
      </c>
      <c r="Q50" s="10" t="str">
        <f>IF(E50="Sim",VLOOKUP(D50,Tabela_1[[#ALL],[CPF]:[Que cargo você ocupa no CACS-FUNDEB?]],4,FALSE),H50)</f>
        <v>São José do Rio Claro</v>
      </c>
      <c r="R50" s="10" t="str">
        <f>IF(E50="Sim",VLOOKUP(D50,Tabela_1[[#ALL],[CPF]:[Que cargo você ocupa no CACS-FUNDEB?]],5,FALSE),I50)</f>
        <v>Gestão municipal </v>
      </c>
    </row>
    <row r="51" ht="22.5" customHeight="1">
      <c r="A51" s="11">
        <v>45833.38159797454</v>
      </c>
      <c r="B51" s="12" t="s">
        <v>202</v>
      </c>
      <c r="C51" s="12" t="s">
        <v>203</v>
      </c>
      <c r="D51" s="12" t="s">
        <v>204</v>
      </c>
      <c r="E51" s="12" t="s">
        <v>21</v>
      </c>
      <c r="F51" s="13"/>
      <c r="G51" s="13"/>
      <c r="H51" s="13"/>
      <c r="I51" s="13"/>
      <c r="J51" s="13"/>
      <c r="K51" s="13"/>
      <c r="L51" s="13"/>
      <c r="M51" s="13"/>
      <c r="N51" s="13"/>
      <c r="O51" s="14">
        <f>IF(E51="Sim",VLOOKUP(D51,Tabela_1[[#ALL],[CPF]:[Que cargo você ocupa no CACS-FUNDEB?]],2,FALSE),F51)</f>
        <v>31063</v>
      </c>
      <c r="P51" s="13" t="str">
        <f>IF(E51="Sim",VLOOKUP(D51,Tabela_1[[#ALL],[CPF]:[Que cargo você ocupa no CACS-FUNDEB?]],3,FALSE),G51)</f>
        <v>(66)99630-2479</v>
      </c>
      <c r="Q51" s="13" t="str">
        <f>IF(E51="Sim",VLOOKUP(D51,Tabela_1[[#ALL],[CPF]:[Que cargo você ocupa no CACS-FUNDEB?]],4,FALSE),H51)</f>
        <v>FELIZ NATAL</v>
      </c>
      <c r="R51" s="13" t="str">
        <f>IF(E51="Sim",VLOOKUP(D51,Tabela_1[[#ALL],[CPF]:[Que cargo você ocupa no CACS-FUNDEB?]],5,FALSE),I51)</f>
        <v>CACS-FUNDEB</v>
      </c>
    </row>
    <row r="52" ht="22.5" customHeight="1">
      <c r="A52" s="7">
        <v>45834.418434293984</v>
      </c>
      <c r="B52" s="8" t="s">
        <v>205</v>
      </c>
      <c r="C52" s="8" t="s">
        <v>206</v>
      </c>
      <c r="D52" s="8" t="s">
        <v>207</v>
      </c>
      <c r="E52" s="8" t="s">
        <v>21</v>
      </c>
      <c r="M52" s="8" t="s">
        <v>208</v>
      </c>
      <c r="O52" s="9">
        <f>IF(E52="Sim",VLOOKUP(D52,Tabela_1[[#ALL],[CPF]:[Que cargo você ocupa no CACS-FUNDEB?]],2,FALSE),F52)</f>
        <v>34262</v>
      </c>
      <c r="P52" s="10" t="str">
        <f>IF(E52="Sim",VLOOKUP(D52,Tabela_1[[#ALL],[CPF]:[Que cargo você ocupa no CACS-FUNDEB?]],3,FALSE),G52)</f>
        <v>(66)99248-5664</v>
      </c>
      <c r="Q52" s="10" t="str">
        <f>IF(E52="Sim",VLOOKUP(D52,Tabela_1[[#ALL],[CPF]:[Que cargo você ocupa no CACS-FUNDEB?]],4,FALSE),H52)</f>
        <v>UNIÃO DO SUL</v>
      </c>
      <c r="R52" s="10" t="str">
        <f>IF(E52="Sim",VLOOKUP(D52,Tabela_1[[#ALL],[CPF]:[Que cargo você ocupa no CACS-FUNDEB?]],5,FALSE),I52)</f>
        <v>CACS-FUNDEB</v>
      </c>
    </row>
    <row r="53" ht="22.5" customHeight="1">
      <c r="A53" s="7">
        <v>45834.41028391204</v>
      </c>
      <c r="B53" s="8" t="s">
        <v>209</v>
      </c>
      <c r="C53" s="8" t="s">
        <v>210</v>
      </c>
      <c r="D53" s="8" t="s">
        <v>211</v>
      </c>
      <c r="E53" s="8" t="s">
        <v>21</v>
      </c>
      <c r="M53" s="8" t="s">
        <v>212</v>
      </c>
      <c r="O53" s="9">
        <f>IF(E53="Sim",VLOOKUP(D53,Tabela_1[[#ALL],[CPF]:[Que cargo você ocupa no CACS-FUNDEB?]],2,FALSE),F53)</f>
        <v>29671</v>
      </c>
      <c r="P53" s="10" t="str">
        <f>IF(E53="Sim",VLOOKUP(D53,Tabela_1[[#ALL],[CPF]:[Que cargo você ocupa no CACS-FUNDEB?]],3,FALSE),G53)</f>
        <v>(66)99662-5421</v>
      </c>
      <c r="Q53" s="10" t="str">
        <f>IF(E53="Sim",VLOOKUP(D53,Tabela_1[[#ALL],[CPF]:[Que cargo você ocupa no CACS-FUNDEB?]],4,FALSE),H53)</f>
        <v>PEIXOTO DE AZEVEDO</v>
      </c>
      <c r="R53" s="10" t="str">
        <f>IF(E53="Sim",VLOOKUP(D53,Tabela_1[[#ALL],[CPF]:[Que cargo você ocupa no CACS-FUNDEB?]],5,FALSE),I53)</f>
        <v>Gestão municipal</v>
      </c>
    </row>
    <row r="54" ht="22.5" customHeight="1">
      <c r="A54" s="7">
        <v>45834.37097765046</v>
      </c>
      <c r="B54" s="8" t="s">
        <v>213</v>
      </c>
      <c r="C54" s="8" t="s">
        <v>214</v>
      </c>
      <c r="D54" s="8" t="s">
        <v>215</v>
      </c>
      <c r="E54" s="8" t="s">
        <v>21</v>
      </c>
      <c r="M54" s="8" t="s">
        <v>216</v>
      </c>
      <c r="O54" s="9">
        <f>IF(E54="Sim",VLOOKUP(D54,Tabela_1[[#ALL],[CPF]:[Que cargo você ocupa no CACS-FUNDEB?]],2,FALSE),F54)</f>
        <v>28551</v>
      </c>
      <c r="P54" s="10" t="str">
        <f>IF(E54="Sim",VLOOKUP(D54,Tabela_1[[#ALL],[CPF]:[Que cargo você ocupa no CACS-FUNDEB?]],3,FALSE),G54)</f>
        <v>(66)99969-8914</v>
      </c>
      <c r="Q54" s="10" t="str">
        <f>IF(E54="Sim",VLOOKUP(D54,Tabela_1[[#ALL],[CPF]:[Que cargo você ocupa no CACS-FUNDEB?]],4,FALSE),H54)</f>
        <v>MARCELÂNDIA</v>
      </c>
      <c r="R54" s="10" t="str">
        <f>IF(E54="Sim",VLOOKUP(D54,Tabela_1[[#ALL],[CPF]:[Que cargo você ocupa no CACS-FUNDEB?]],5,FALSE),I54)</f>
        <v>Gestão municipal</v>
      </c>
    </row>
    <row r="55" ht="22.5" customHeight="1">
      <c r="A55" s="11">
        <v>45833.41012457176</v>
      </c>
      <c r="B55" s="12" t="s">
        <v>217</v>
      </c>
      <c r="C55" s="12" t="s">
        <v>218</v>
      </c>
      <c r="D55" s="12" t="s">
        <v>219</v>
      </c>
      <c r="E55" s="12" t="s">
        <v>21</v>
      </c>
      <c r="F55" s="13"/>
      <c r="G55" s="13"/>
      <c r="H55" s="13"/>
      <c r="I55" s="13"/>
      <c r="J55" s="13"/>
      <c r="K55" s="13"/>
      <c r="L55" s="13"/>
      <c r="M55" s="13"/>
      <c r="N55" s="13"/>
      <c r="O55" s="14">
        <f>IF(E55="Sim",VLOOKUP(D55,Tabela_1[[#ALL],[CPF]:[Que cargo você ocupa no CACS-FUNDEB?]],2,FALSE),F55)</f>
        <v>32075</v>
      </c>
      <c r="P55" s="13" t="str">
        <f>IF(E55="Sim",VLOOKUP(D55,Tabela_1[[#ALL],[CPF]:[Que cargo você ocupa no CACS-FUNDEB?]],3,FALSE),G55)</f>
        <v>(66)99657-2254</v>
      </c>
      <c r="Q55" s="13" t="str">
        <f>IF(E55="Sim",VLOOKUP(D55,Tabela_1[[#ALL],[CPF]:[Que cargo você ocupa no CACS-FUNDEB?]],4,FALSE),H55)</f>
        <v>GUARANTÃ DO NORTE</v>
      </c>
      <c r="R55" s="13" t="str">
        <f>IF(E55="Sim",VLOOKUP(D55,Tabela_1[[#ALL],[CPF]:[Que cargo você ocupa no CACS-FUNDEB?]],5,FALSE),I55)</f>
        <v>Gestão municipal</v>
      </c>
    </row>
    <row r="56" ht="22.5" customHeight="1">
      <c r="A56" s="11">
        <v>45833.41066555555</v>
      </c>
      <c r="B56" s="12" t="s">
        <v>220</v>
      </c>
      <c r="C56" s="12" t="s">
        <v>221</v>
      </c>
      <c r="D56" s="12" t="s">
        <v>222</v>
      </c>
      <c r="E56" s="12" t="s">
        <v>21</v>
      </c>
      <c r="F56" s="13"/>
      <c r="G56" s="13"/>
      <c r="H56" s="13"/>
      <c r="I56" s="13"/>
      <c r="J56" s="13"/>
      <c r="K56" s="13"/>
      <c r="L56" s="13"/>
      <c r="M56" s="13"/>
      <c r="N56" s="13"/>
      <c r="O56" s="14">
        <f>IF(E56="Sim",VLOOKUP(D56,Tabela_1[[#ALL],[CPF]:[Que cargo você ocupa no CACS-FUNDEB?]],2,FALSE),F56)</f>
        <v>38133</v>
      </c>
      <c r="P56" s="13" t="str">
        <f>IF(E56="Sim",VLOOKUP(D56,Tabela_1[[#ALL],[CPF]:[Que cargo você ocupa no CACS-FUNDEB?]],3,FALSE),G56)</f>
        <v>(66)99242-5565</v>
      </c>
      <c r="Q56" s="13" t="str">
        <f>IF(E56="Sim",VLOOKUP(D56,Tabela_1[[#ALL],[CPF]:[Que cargo você ocupa no CACS-FUNDEB?]],4,FALSE),H56)</f>
        <v>ALTA FLORESTA</v>
      </c>
      <c r="R56" s="13" t="str">
        <f>IF(E56="Sim",VLOOKUP(D56,Tabela_1[[#ALL],[CPF]:[Que cargo você ocupa no CACS-FUNDEB?]],5,FALSE),I56)</f>
        <v>Gestão municipal</v>
      </c>
    </row>
    <row r="57" ht="22.5" customHeight="1">
      <c r="A57" s="7">
        <v>45834.410500555554</v>
      </c>
      <c r="B57" s="8" t="s">
        <v>223</v>
      </c>
      <c r="C57" s="8" t="s">
        <v>224</v>
      </c>
      <c r="D57" s="8" t="s">
        <v>225</v>
      </c>
      <c r="E57" s="8" t="s">
        <v>21</v>
      </c>
      <c r="M57" s="8" t="s">
        <v>226</v>
      </c>
      <c r="O57" s="9">
        <f>IF(E57="Sim",VLOOKUP(D57,Tabela_1[[#ALL],[CPF]:[Que cargo você ocupa no CACS-FUNDEB?]],2,FALSE),F57)</f>
        <v>27524</v>
      </c>
      <c r="P57" s="10" t="str">
        <f>IF(E57="Sim",VLOOKUP(D57,Tabela_1[[#ALL],[CPF]:[Que cargo você ocupa no CACS-FUNDEB?]],3,FALSE),G57)</f>
        <v>(66)99956-2229</v>
      </c>
      <c r="Q57" s="10" t="str">
        <f>IF(E57="Sim",VLOOKUP(D57,Tabela_1[[#ALL],[CPF]:[Que cargo você ocupa no CACS-FUNDEB?]],4,FALSE),H57)</f>
        <v>PEIXOTO DE AZEVEDO</v>
      </c>
      <c r="R57" s="10" t="str">
        <f>IF(E57="Sim",VLOOKUP(D57,Tabela_1[[#ALL],[CPF]:[Que cargo você ocupa no CACS-FUNDEB?]],5,FALSE),I57)</f>
        <v>CACS-FUNDEB</v>
      </c>
    </row>
    <row r="58" ht="22.5" customHeight="1">
      <c r="A58" s="7">
        <v>45834.41123146991</v>
      </c>
      <c r="B58" s="8" t="s">
        <v>227</v>
      </c>
      <c r="D58" s="8" t="s">
        <v>228</v>
      </c>
      <c r="E58" s="8" t="s">
        <v>21</v>
      </c>
      <c r="M58" s="8" t="s">
        <v>229</v>
      </c>
      <c r="O58" s="9">
        <f>IF(E58="Sim",VLOOKUP(D58,Tabela_1[[#ALL],[CPF]:[Que cargo você ocupa no CACS-FUNDEB?]],2,FALSE),F58)</f>
        <v>26682</v>
      </c>
      <c r="P58" s="10" t="str">
        <f>IF(E58="Sim",VLOOKUP(D58,Tabela_1[[#ALL],[CPF]:[Que cargo você ocupa no CACS-FUNDEB?]],3,FALSE),G58)</f>
        <v>(66)99906-1722</v>
      </c>
      <c r="Q58" s="10" t="str">
        <f>IF(E58="Sim",VLOOKUP(D58,Tabela_1[[#ALL],[CPF]:[Que cargo você ocupa no CACS-FUNDEB?]],4,FALSE),H58)</f>
        <v>NOVA UBIRATÃ</v>
      </c>
      <c r="R58" s="10" t="str">
        <f>IF(E58="Sim",VLOOKUP(D58,Tabela_1[[#ALL],[CPF]:[Que cargo você ocupa no CACS-FUNDEB?]],5,FALSE),I58)</f>
        <v>Gestão municipal</v>
      </c>
    </row>
    <row r="61">
      <c r="C61" s="22" t="str">
        <f>UPPER(C58)</f>
        <v/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25"/>
    <col customWidth="1" min="3" max="3" width="32.5"/>
    <col customWidth="1" min="4" max="4" width="13.75"/>
    <col customWidth="1" min="5" max="5" width="21.88"/>
    <col customWidth="1" min="6" max="6" width="14.38"/>
  </cols>
  <sheetData>
    <row r="1">
      <c r="A1" s="23" t="s">
        <v>230</v>
      </c>
      <c r="B1" s="23" t="s">
        <v>231</v>
      </c>
      <c r="C1" s="23" t="s">
        <v>232</v>
      </c>
      <c r="D1" s="23" t="s">
        <v>233</v>
      </c>
      <c r="E1" s="23" t="s">
        <v>234</v>
      </c>
      <c r="F1" s="23" t="s">
        <v>235</v>
      </c>
    </row>
    <row r="2">
      <c r="A2" s="22" t="str">
        <f>Form_Responses1[CPF:  XXX.XXX.XXX-XX]</f>
        <v>042.871.251-77</v>
      </c>
      <c r="B2" s="22" t="str">
        <f>'Respostas ao formulário 1'!C2</f>
        <v>Aldeni Morais Machado santana</v>
      </c>
      <c r="C2" s="22" t="str">
        <f>'Respostas ao formulário 1'!B2</f>
        <v>aldenimachado2@gmail.com</v>
      </c>
      <c r="D2" s="24">
        <f>'Respostas ao formulário 1'!O25</f>
        <v>38133</v>
      </c>
      <c r="E2" s="22" t="str">
        <f>'Respostas ao formulário 1'!Q25</f>
        <v>ALTA FLORESTA</v>
      </c>
      <c r="F2" s="22" t="str">
        <f>'Respostas ao formulário 1'!R25</f>
        <v>Gestão municipal</v>
      </c>
    </row>
    <row r="3">
      <c r="A3" s="22" t="str">
        <f>Form_Responses1[CPF:  XXX.XXX.XXX-XX]</f>
        <v>039.487.011-56</v>
      </c>
      <c r="B3" s="22" t="str">
        <f>'Respostas ao formulário 1'!C3</f>
        <v>Ana Claudia Dalmolin </v>
      </c>
      <c r="C3" s="22" t="str">
        <f>'Respostas ao formulário 1'!B3</f>
        <v>anaclaudiadalmolin1@gmail.com</v>
      </c>
      <c r="D3" s="24">
        <f>'Respostas ao formulário 1'!O39</f>
        <v>29016</v>
      </c>
      <c r="E3" s="22" t="str">
        <f>'Respostas ao formulário 1'!Q39</f>
        <v>ALTA FLORESTA</v>
      </c>
      <c r="F3" s="22" t="str">
        <f>'Respostas ao formulário 1'!R39</f>
        <v>CACS-FUNDEB</v>
      </c>
    </row>
    <row r="4">
      <c r="A4" s="22" t="str">
        <f>Form_Responses1[CPF:  XXX.XXX.XXX-XX]</f>
        <v>047.152.811-04</v>
      </c>
      <c r="B4" s="22" t="str">
        <f>'Respostas ao formulário 1'!C4</f>
        <v>Ana Claudia Germano Alves </v>
      </c>
      <c r="C4" s="22" t="str">
        <f>'Respostas ao formulário 1'!B4</f>
        <v>anaclaudiagermano26@gmail.com</v>
      </c>
      <c r="D4" s="24">
        <f>'Respostas ao formulário 1'!O45</f>
        <v>28454</v>
      </c>
      <c r="E4" s="22" t="str">
        <f>'Respostas ao formulário 1'!Q45</f>
        <v>ALTA FLORESTA</v>
      </c>
      <c r="F4" s="22" t="str">
        <f>'Respostas ao formulário 1'!R45</f>
        <v>CACS-FUNDEB</v>
      </c>
    </row>
    <row r="5">
      <c r="A5" s="22" t="str">
        <f>Form_Responses1[CPF:  XXX.XXX.XXX-XX]</f>
        <v>011.159.092-23</v>
      </c>
      <c r="B5" s="22" t="str">
        <f>'Respostas ao formulário 1'!C5</f>
        <v>Ana Cristina Silva valente </v>
      </c>
      <c r="C5" s="22" t="str">
        <f>'Respostas ao formulário 1'!B5</f>
        <v>cristinabryan140@gmail.com</v>
      </c>
      <c r="D5" s="24">
        <f>'Respostas ao formulário 1'!O56</f>
        <v>38133</v>
      </c>
      <c r="E5" s="22" t="str">
        <f>'Respostas ao formulário 1'!Q56</f>
        <v>ALTA FLORESTA</v>
      </c>
      <c r="F5" s="22" t="str">
        <f>'Respostas ao formulário 1'!R56</f>
        <v>Gestão municipal</v>
      </c>
    </row>
    <row r="6">
      <c r="A6" s="22" t="str">
        <f>Form_Responses1[CPF:  XXX.XXX.XXX-XX]</f>
        <v>110.018.751-09</v>
      </c>
      <c r="B6" s="22" t="str">
        <f>'Respostas ao formulário 1'!C6</f>
        <v>ANA ESTHER PEREIRA MENDONÇA </v>
      </c>
      <c r="C6" s="22" t="str">
        <f>'Respostas ao formulário 1'!B6</f>
        <v>pereiraanaesther184@gmail.com</v>
      </c>
      <c r="D6" s="24">
        <f>'Respostas ao formulário 1'!O2</f>
        <v>34644</v>
      </c>
      <c r="E6" s="22" t="str">
        <f>'Respostas ao formulário 1'!Q2</f>
        <v>COLÍDER</v>
      </c>
      <c r="F6" s="22" t="str">
        <f>'Respostas ao formulário 1'!R2</f>
        <v>Gestão municipal</v>
      </c>
    </row>
    <row r="7">
      <c r="A7" s="22" t="str">
        <f>Form_Responses1[CPF:  XXX.XXX.XXX-XX]</f>
        <v>031.269.751-19</v>
      </c>
      <c r="B7" s="22" t="str">
        <f>'Respostas ao formulário 1'!C7</f>
        <v>Ana Paula Tavares da Câmara Canguçu </v>
      </c>
      <c r="C7" s="22" t="str">
        <f>'Respostas ao formulário 1'!B7</f>
        <v>anapaulatavarescamara@hotmail.com</v>
      </c>
      <c r="D7" s="24">
        <f>'Respostas ao formulário 1'!O10</f>
        <v>32218</v>
      </c>
      <c r="E7" s="22" t="str">
        <f>'Respostas ao formulário 1'!Q10</f>
        <v>COLÍDER</v>
      </c>
      <c r="F7" s="22" t="str">
        <f>'Respostas ao formulário 1'!R10</f>
        <v>CACS-FUNDEB</v>
      </c>
    </row>
    <row r="8">
      <c r="A8" s="22" t="str">
        <f>Form_Responses1[CPF:  XXX.XXX.XXX-XX]</f>
        <v>054.353.841-92</v>
      </c>
      <c r="B8" s="22" t="str">
        <f>'Respostas ao formulário 1'!C8</f>
        <v>Andrei de Jesus krasowski </v>
      </c>
      <c r="C8" s="22" t="str">
        <f>'Respostas ao formulário 1'!B8</f>
        <v>andreikrasowski3@gmail.com</v>
      </c>
      <c r="D8" s="24">
        <f>'Respostas ao formulário 1'!O42</f>
        <v>29502</v>
      </c>
      <c r="E8" s="22" t="str">
        <f>'Respostas ao formulário 1'!Q42</f>
        <v>COLÍDER</v>
      </c>
      <c r="F8" s="22" t="str">
        <f>'Respostas ao formulário 1'!R42</f>
        <v>Gestão municipal</v>
      </c>
    </row>
    <row r="9">
      <c r="A9" s="22" t="str">
        <f>Form_Responses1[CPF:  XXX.XXX.XXX-XX]</f>
        <v>062.818.251-10</v>
      </c>
      <c r="B9" s="22" t="str">
        <f>'Respostas ao formulário 1'!C9</f>
        <v>Camili Roman Gomes</v>
      </c>
      <c r="C9" s="22" t="str">
        <f>'Respostas ao formulário 1'!B9</f>
        <v>romancamili91@gmail.com</v>
      </c>
      <c r="D9" s="25">
        <f>'Respostas ao formulário 1'!O32</f>
        <v>32228</v>
      </c>
      <c r="E9" s="22" t="str">
        <f>'Respostas ao formulário 1'!Q32</f>
        <v>Feliz Natal </v>
      </c>
      <c r="F9" s="22" t="str">
        <f>'Respostas ao formulário 1'!R32</f>
        <v>Gestão municipal </v>
      </c>
    </row>
    <row r="10">
      <c r="A10" s="22" t="str">
        <f>Form_Responses1[CPF:  XXX.XXX.XXX-XX]</f>
        <v>032.805.231-09</v>
      </c>
      <c r="B10" s="22" t="str">
        <f>'Respostas ao formulário 1'!C10</f>
        <v>Carlos Alberto Silva </v>
      </c>
      <c r="C10" s="22" t="str">
        <f>'Respostas ao formulário 1'!B10</f>
        <v>carlim.albsilva@gmail.com</v>
      </c>
      <c r="D10" s="24">
        <f>'Respostas ao formulário 1'!O26</f>
        <v>30267</v>
      </c>
      <c r="E10" s="22" t="str">
        <f>'Respostas ao formulário 1'!Q26</f>
        <v>COLÍDER</v>
      </c>
      <c r="F10" s="22" t="str">
        <f>'Respostas ao formulário 1'!R26</f>
        <v>CACS-FUNDEB</v>
      </c>
    </row>
    <row r="11">
      <c r="A11" s="22" t="str">
        <f>Form_Responses1[CPF:  XXX.XXX.XXX-XX]</f>
        <v>019.896.331-96</v>
      </c>
      <c r="B11" s="22" t="str">
        <f>'Respostas ao formulário 1'!C11</f>
        <v>Cathea chapla</v>
      </c>
      <c r="C11" s="22" t="str">
        <f>'Respostas ao formulário 1'!B11</f>
        <v>catheachapla@gmail.com</v>
      </c>
      <c r="D11" s="25">
        <f>'Respostas ao formulário 1'!O6</f>
        <v>37684</v>
      </c>
      <c r="E11" s="22" t="str">
        <f>'Respostas ao formulário 1'!Q6</f>
        <v>Guarantã do Norte</v>
      </c>
      <c r="F11" s="22" t="str">
        <f>'Respostas ao formulário 1'!R6</f>
        <v>Gestão municipal </v>
      </c>
    </row>
    <row r="12">
      <c r="A12" s="22" t="str">
        <f>Form_Responses1[CPF:  XXX.XXX.XXX-XX]</f>
        <v>001.549.211-73</v>
      </c>
      <c r="B12" s="22" t="str">
        <f>'Respostas ao formulário 1'!C12</f>
        <v>Célia  Pereira Bueno da Silva </v>
      </c>
      <c r="C12" s="22" t="str">
        <f>'Respostas ao formulário 1'!B12</f>
        <v>celia_ometto@hotmail.com</v>
      </c>
      <c r="D12" s="24">
        <f>'Respostas ao formulário 1'!O22</f>
        <v>29775</v>
      </c>
      <c r="E12" s="22" t="str">
        <f>'Respostas ao formulário 1'!Q22</f>
        <v>GUARANTÃ DO NORTE</v>
      </c>
      <c r="F12" s="22" t="str">
        <f>'Respostas ao formulário 1'!R22</f>
        <v>Gestão municipal</v>
      </c>
    </row>
    <row r="13">
      <c r="A13" s="22" t="str">
        <f>Form_Responses1[CPF:  XXX.XXX.XXX-XX]</f>
        <v>021.934.271-78</v>
      </c>
      <c r="B13" s="22" t="str">
        <f>'Respostas ao formulário 1'!C13</f>
        <v>Claudimiro Neves de Freitas </v>
      </c>
      <c r="C13" s="22" t="str">
        <f>'Respostas ao formulário 1'!B13</f>
        <v>claudimiro.freitas@edu.mt.gov.br</v>
      </c>
      <c r="D13" s="24">
        <f>'Respostas ao formulário 1'!O49</f>
        <v>37484</v>
      </c>
      <c r="E13" s="22" t="str">
        <f>'Respostas ao formulário 1'!Q49</f>
        <v>GUARANTÃ DO NORTE</v>
      </c>
      <c r="F13" s="22" t="str">
        <f>'Respostas ao formulário 1'!R49</f>
        <v>Gestão municipal</v>
      </c>
    </row>
    <row r="14">
      <c r="A14" s="22" t="str">
        <f>Form_Responses1[CPF:  XXX.XXX.XXX-XX]</f>
        <v>756.971.499-72</v>
      </c>
      <c r="B14" s="22" t="str">
        <f>'Respostas ao formulário 1'!C14</f>
        <v>Cleusete Aparecida Ulsenheimer</v>
      </c>
      <c r="C14" s="22" t="str">
        <f>'Respostas ao formulário 1'!B14</f>
        <v>cleuseteulsenheimer@gmail.com</v>
      </c>
      <c r="D14" s="24">
        <f>'Respostas ao formulário 1'!O55</f>
        <v>32075</v>
      </c>
      <c r="E14" s="22" t="str">
        <f>'Respostas ao formulário 1'!Q55</f>
        <v>GUARANTÃ DO NORTE</v>
      </c>
      <c r="F14" s="22" t="str">
        <f>'Respostas ao formulário 1'!R55</f>
        <v>Gestão municipal</v>
      </c>
    </row>
    <row r="15">
      <c r="A15" s="22" t="str">
        <f>Form_Responses1[CPF:  XXX.XXX.XXX-XX]</f>
        <v>058.310.541-60</v>
      </c>
      <c r="B15" s="22" t="str">
        <f>'Respostas ao formulário 1'!C15</f>
        <v>Daiana Ribeiro Reis Barbosa </v>
      </c>
      <c r="C15" s="22" t="str">
        <f>'Respostas ao formulário 1'!B15</f>
        <v>daianar775@gmail.com</v>
      </c>
      <c r="D15" s="24">
        <f>'Respostas ao formulário 1'!O14</f>
        <v>25999</v>
      </c>
      <c r="E15" s="22" t="str">
        <f>'Respostas ao formulário 1'!Q14</f>
        <v>ITANHANGÁ</v>
      </c>
      <c r="F15" s="22" t="str">
        <f>'Respostas ao formulário 1'!R14</f>
        <v>Gestão municipal</v>
      </c>
    </row>
    <row r="16">
      <c r="A16" s="22" t="str">
        <f>Form_Responses1[CPF:  XXX.XXX.XXX-XX]</f>
        <v>038.659.701-41</v>
      </c>
      <c r="B16" s="22" t="str">
        <f>'Respostas ao formulário 1'!C16</f>
        <v>Débora Gonçalves Lopes Nogueira </v>
      </c>
      <c r="C16" s="22" t="str">
        <f>'Respostas ao formulário 1'!B16</f>
        <v>debora_ge11@hotmail.com</v>
      </c>
      <c r="D16" s="24">
        <f>'Respostas ao formulário 1'!O40</f>
        <v>30103</v>
      </c>
      <c r="E16" s="22" t="str">
        <f>'Respostas ao formulário 1'!Q40</f>
        <v>FELIZ NATAL</v>
      </c>
      <c r="F16" s="22" t="str">
        <f>'Respostas ao formulário 1'!R40</f>
        <v>CACS-FUNDEB</v>
      </c>
    </row>
    <row r="17">
      <c r="A17" s="22" t="str">
        <f>Form_Responses1[CPF:  XXX.XXX.XXX-XX]</f>
        <v>000.733.161-48</v>
      </c>
      <c r="B17" s="22" t="str">
        <f>'Respostas ao formulário 1'!C17</f>
        <v>Deibson Clei de Campos</v>
      </c>
      <c r="C17" s="22" t="str">
        <f>'Respostas ao formulário 1'!B17</f>
        <v>deibsoncampos@hotmail.com</v>
      </c>
      <c r="D17" s="24">
        <f>'Respostas ao formulário 1'!O44</f>
        <v>29275</v>
      </c>
      <c r="E17" s="22" t="str">
        <f>'Respostas ao formulário 1'!Q44</f>
        <v>ITANHANGÁ</v>
      </c>
      <c r="F17" s="22" t="str">
        <f>'Respostas ao formulário 1'!R44</f>
        <v>Gestão municipal</v>
      </c>
    </row>
    <row r="18">
      <c r="A18" s="22" t="str">
        <f>Form_Responses1[CPF:  XXX.XXX.XXX-XX]</f>
        <v>534.183.109-82</v>
      </c>
      <c r="B18" s="22" t="str">
        <f>'Respostas ao formulário 1'!C18</f>
        <v>Denise Bortolozzo Dalazen </v>
      </c>
      <c r="C18" s="22" t="str">
        <f>'Respostas ao formulário 1'!B18</f>
        <v>dbdalazen@gmail.com</v>
      </c>
      <c r="D18" s="24">
        <f>'Respostas ao formulário 1'!O54</f>
        <v>28551</v>
      </c>
      <c r="E18" s="22" t="str">
        <f>'Respostas ao formulário 1'!Q54</f>
        <v>MARCELÂNDIA</v>
      </c>
      <c r="F18" s="22" t="str">
        <f>'Respostas ao formulário 1'!R54</f>
        <v>Gestão municipal</v>
      </c>
    </row>
    <row r="19">
      <c r="A19" s="22" t="str">
        <f>Form_Responses1[CPF:  XXX.XXX.XXX-XX]</f>
        <v>031.367.381-01</v>
      </c>
      <c r="B19" s="22" t="str">
        <f>'Respostas ao formulário 1'!C19</f>
        <v>Dian Carla Battisti Pit </v>
      </c>
      <c r="C19" s="22" t="str">
        <f>'Respostas ao formulário 1'!B19</f>
        <v>dianbattisti@hotmail.com</v>
      </c>
      <c r="D19" s="24">
        <f>'Respostas ao formulário 1'!O5</f>
        <v>34236</v>
      </c>
      <c r="E19" s="22" t="str">
        <f>'Respostas ao formulário 1'!Q5</f>
        <v>MATUPÁ</v>
      </c>
      <c r="F19" s="22" t="str">
        <f>'Respostas ao formulário 1'!R5</f>
        <v>Gestão municipal</v>
      </c>
    </row>
    <row r="20">
      <c r="A20" s="22" t="str">
        <f>Form_Responses1[CPF:  XXX.XXX.XXX-XX]</f>
        <v>031.367.381-01</v>
      </c>
      <c r="B20" s="22" t="str">
        <f>'Respostas ao formulário 1'!C20</f>
        <v>Dian Carla Battisti Pit </v>
      </c>
      <c r="C20" s="22" t="str">
        <f>'Respostas ao formulário 1'!B20</f>
        <v>dianbattisti@hotmail.com</v>
      </c>
      <c r="D20" s="24">
        <f>'Respostas ao formulário 1'!O15</f>
        <v>35992</v>
      </c>
      <c r="E20" s="22" t="str">
        <f>'Respostas ao formulário 1'!Q15</f>
        <v>MATUPÁ</v>
      </c>
      <c r="F20" s="22" t="str">
        <f>'Respostas ao formulário 1'!R15</f>
        <v>Gestão municipal</v>
      </c>
    </row>
    <row r="21">
      <c r="A21" s="22" t="str">
        <f>Form_Responses1[CPF:  XXX.XXX.XXX-XX]</f>
        <v>925.508.511-53</v>
      </c>
      <c r="B21" s="22" t="str">
        <f>'Respostas ao formulário 1'!C21</f>
        <v>Dorival Gomes de Souza </v>
      </c>
      <c r="C21" s="22" t="str">
        <f>'Respostas ao formulário 1'!B21</f>
        <v>dorivalgomesmot17@gmail.com</v>
      </c>
      <c r="D21" s="24">
        <f>'Respostas ao formulário 1'!O51</f>
        <v>31063</v>
      </c>
      <c r="E21" s="22" t="str">
        <f>'Respostas ao formulário 1'!Q51</f>
        <v>FELIZ NATAL</v>
      </c>
      <c r="F21" s="22" t="str">
        <f>'Respostas ao formulário 1'!R51</f>
        <v>CACS-FUNDEB</v>
      </c>
    </row>
    <row r="22">
      <c r="A22" s="22" t="str">
        <f>Form_Responses1[CPF:  XXX.XXX.XXX-XX]</f>
        <v>023.068.921-30</v>
      </c>
      <c r="B22" s="22" t="str">
        <f>'Respostas ao formulário 1'!C22</f>
        <v>Dulcineia MATHIAS CABRAL </v>
      </c>
      <c r="C22" s="22" t="str">
        <f>'Respostas ao formulário 1'!B22</f>
        <v>dulcisec@gmail.com</v>
      </c>
      <c r="D22" s="25">
        <f>'Respostas ao formulário 1'!O12</f>
        <v>27549</v>
      </c>
      <c r="E22" s="22" t="str">
        <f>'Respostas ao formulário 1'!Q12</f>
        <v>Matupá </v>
      </c>
      <c r="F22" s="22" t="str">
        <f>'Respostas ao formulário 1'!R12</f>
        <v>Gestão Municipal</v>
      </c>
    </row>
    <row r="23">
      <c r="A23" s="22" t="str">
        <f>Form_Responses1[CPF:  XXX.XXX.XXX-XX]</f>
        <v>299.445.031-34</v>
      </c>
      <c r="B23" s="22" t="str">
        <f>'Respostas ao formulário 1'!C23</f>
        <v>Edelson manoel de sousa</v>
      </c>
      <c r="C23" s="22" t="str">
        <f>'Respostas ao formulário 1'!B23</f>
        <v>edelsonsousa_@hotmail.com</v>
      </c>
      <c r="D23" s="24">
        <f>'Respostas ao formulário 1'!O19</f>
        <v>32723</v>
      </c>
      <c r="E23" s="22" t="str">
        <f>'Respostas ao formulário 1'!Q19</f>
        <v>NOVA GUARITA</v>
      </c>
      <c r="F23" s="22" t="str">
        <f>'Respostas ao formulário 1'!R19</f>
        <v>Gestão municipal</v>
      </c>
    </row>
    <row r="24">
      <c r="A24" s="22" t="str">
        <f>Form_Responses1[CPF:  XXX.XXX.XXX-XX]</f>
        <v>299.445.031-34</v>
      </c>
      <c r="B24" s="22" t="str">
        <f>'Respostas ao formulário 1'!C24</f>
        <v>Edelson manoel de sousa </v>
      </c>
      <c r="C24" s="22" t="str">
        <f>'Respostas ao formulário 1'!B24</f>
        <v>edelsonsousa_@hotmail.com</v>
      </c>
      <c r="D24" s="24">
        <f>'Respostas ao formulário 1'!O20</f>
        <v>32723</v>
      </c>
      <c r="E24" s="22" t="str">
        <f>'Respostas ao formulário 1'!Q20</f>
        <v>NOVA GUARITA</v>
      </c>
      <c r="F24" s="22" t="str">
        <f>'Respostas ao formulário 1'!R20</f>
        <v>Gestão municipal</v>
      </c>
    </row>
    <row r="25">
      <c r="A25" s="22" t="str">
        <f>Form_Responses1[CPF:  XXX.XXX.XXX-XX]</f>
        <v>061.514.082-33</v>
      </c>
      <c r="B25" s="22" t="str">
        <f>'Respostas ao formulário 1'!C25</f>
        <v>Felipe Ricardo de Oliveira Morais </v>
      </c>
      <c r="C25" s="22" t="str">
        <f>'Respostas ao formulário 1'!B25</f>
        <v>ricardo.felipeom@gmail.com</v>
      </c>
      <c r="D25" s="25">
        <f>'Respostas ao formulário 1'!O23</f>
        <v>23793</v>
      </c>
      <c r="E25" s="22" t="str">
        <f>'Respostas ao formulário 1'!Q23</f>
        <v>NOVA GUARITA</v>
      </c>
      <c r="F25" s="22" t="str">
        <f>'Respostas ao formulário 1'!R23</f>
        <v>Gestão municipal</v>
      </c>
    </row>
    <row r="26">
      <c r="A26" s="22" t="str">
        <f>Form_Responses1[CPF:  XXX.XXX.XXX-XX]</f>
        <v>963.391.101-00</v>
      </c>
      <c r="B26" s="22" t="str">
        <f>'Respostas ao formulário 1'!C26</f>
        <v>Flávia Corrêa da Silveira Lopes </v>
      </c>
      <c r="C26" s="22" t="str">
        <f>'Respostas ao formulário 1'!B26</f>
        <v>flavia.lopes@edu.colider.mt.gov.br</v>
      </c>
      <c r="D26" s="24">
        <f>'Respostas ao formulário 1'!O31</f>
        <v>24163</v>
      </c>
      <c r="E26" s="22" t="str">
        <f>'Respostas ao formulário 1'!Q31</f>
        <v>GUARANTÃ DO NORTE</v>
      </c>
      <c r="F26" s="22" t="str">
        <f>'Respostas ao formulário 1'!R31</f>
        <v>CACS-FUNDEB</v>
      </c>
    </row>
    <row r="27">
      <c r="A27" s="22" t="str">
        <f>Form_Responses1[CPF:  XXX.XXX.XXX-XX]</f>
        <v>042.524.451-24</v>
      </c>
      <c r="B27" s="22" t="str">
        <f>'Respostas ao formulário 1'!C27</f>
        <v>Francieli Maria Hammes</v>
      </c>
      <c r="C27" s="22" t="str">
        <f>'Respostas ao formulário 1'!B27</f>
        <v>sme.transporteescolarsinop@gmail.com</v>
      </c>
      <c r="D27" s="25">
        <f>'Respostas ao formulário 1'!O24</f>
        <v>23793</v>
      </c>
      <c r="E27" s="22" t="str">
        <f>'Respostas ao formulário 1'!Q24</f>
        <v>NOVA GUARITA</v>
      </c>
      <c r="F27" s="22" t="str">
        <f>'Respostas ao formulário 1'!R24</f>
        <v>Gestão municipal</v>
      </c>
    </row>
    <row r="28">
      <c r="A28" s="22" t="str">
        <f>Form_Responses1[CPF:  XXX.XXX.XXX-XX]</f>
        <v>064.633.091-84</v>
      </c>
      <c r="B28" s="22" t="str">
        <f>'Respostas ao formulário 1'!C28</f>
        <v>Giselli Satiko Toyomoto Fujimori</v>
      </c>
      <c r="C28" s="22" t="str">
        <f>'Respostas ao formulário 1'!B28</f>
        <v>gisellifujimori@gmail.com</v>
      </c>
      <c r="D28" s="24">
        <f>'Respostas ao formulário 1'!O17</f>
        <v>30887</v>
      </c>
      <c r="E28" s="22" t="str">
        <f>'Respostas ao formulário 1'!Q17</f>
        <v>NOVA MARINGÁ</v>
      </c>
      <c r="F28" s="22" t="str">
        <f>'Respostas ao formulário 1'!R17</f>
        <v>Gestão municipal</v>
      </c>
    </row>
    <row r="29">
      <c r="A29" s="22" t="str">
        <f>Form_Responses1[CPF:  XXX.XXX.XXX-XX]</f>
        <v>049.578.646-97</v>
      </c>
      <c r="B29" s="22" t="str">
        <f>'Respostas ao formulário 1'!C29</f>
        <v>Jarlene maria silva matos </v>
      </c>
      <c r="C29" s="22" t="str">
        <f>'Respostas ao formulário 1'!B29</f>
        <v>matosjarlene5@gmail.com</v>
      </c>
      <c r="D29" s="24">
        <f>'Respostas ao formulário 1'!O18</f>
        <v>24068</v>
      </c>
      <c r="E29" s="22" t="str">
        <f>'Respostas ao formulário 1'!Q18</f>
        <v>NOVO MUNDO</v>
      </c>
      <c r="F29" s="22" t="str">
        <f>'Respostas ao formulário 1'!R18</f>
        <v>Gestão municipal</v>
      </c>
    </row>
    <row r="30">
      <c r="A30" s="22" t="str">
        <f>Form_Responses1[CPF:  XXX.XXX.XXX-XX]</f>
        <v>039.855.061-16</v>
      </c>
      <c r="B30" s="22" t="str">
        <f>'Respostas ao formulário 1'!C30</f>
        <v>Jefferson Henkes Marcolini </v>
      </c>
      <c r="C30" s="22" t="str">
        <f>'Respostas ao formulário 1'!B30</f>
        <v>jeffersonmarcolinii@hotmail.com</v>
      </c>
      <c r="D30" s="24">
        <f>'Respostas ao formulário 1'!O47</f>
        <v>30249</v>
      </c>
      <c r="E30" s="22" t="str">
        <f>'Respostas ao formulário 1'!Q47</f>
        <v>NOVO MUNDO</v>
      </c>
      <c r="F30" s="22" t="str">
        <f>'Respostas ao formulário 1'!R47</f>
        <v>Gestão municipal</v>
      </c>
    </row>
    <row r="31">
      <c r="A31" s="22" t="str">
        <f>Form_Responses1[CPF:  XXX.XXX.XXX-XX]</f>
        <v>403.447.891-87</v>
      </c>
      <c r="B31" s="22" t="str">
        <f>'Respostas ao formulário 1'!C31</f>
        <v>João Marques da Costa </v>
      </c>
      <c r="C31" s="22" t="str">
        <f>'Respostas ao formulário 1'!B31</f>
        <v>joaomarquesdacosta25@gmail.com</v>
      </c>
      <c r="D31" s="24">
        <f>'Respostas ao formulário 1'!O4</f>
        <v>35610</v>
      </c>
      <c r="E31" s="22" t="str">
        <f>'Respostas ao formulário 1'!Q4</f>
        <v>ITANHANGÁ</v>
      </c>
      <c r="F31" s="22" t="str">
        <f>'Respostas ao formulário 1'!R4</f>
        <v>CACS-FUNDEB</v>
      </c>
    </row>
    <row r="32">
      <c r="A32" s="22" t="str">
        <f>Form_Responses1[CPF:  XXX.XXX.XXX-XX]</f>
        <v>021.159.381-86</v>
      </c>
      <c r="B32" s="22" t="str">
        <f>'Respostas ao formulário 1'!C32</f>
        <v>Juliana Mazei Silva </v>
      </c>
      <c r="C32" s="22" t="str">
        <f>'Respostas ao formulário 1'!B32</f>
        <v>julianamazei@hotmail.com</v>
      </c>
      <c r="D32" s="26">
        <f>'Respostas ao formulário 1'!O29</f>
        <v>28458</v>
      </c>
      <c r="E32" s="22" t="str">
        <f>'Respostas ao formulário 1'!Q29</f>
        <v>Peixoto de azevedo</v>
      </c>
      <c r="F32" s="22" t="str">
        <f>'Respostas ao formulário 1'!R29</f>
        <v>Gestão municipal </v>
      </c>
    </row>
    <row r="33">
      <c r="A33" s="22" t="str">
        <f>Form_Responses1[CPF:  XXX.XXX.XXX-XX]</f>
        <v>718.028.431-91</v>
      </c>
      <c r="B33" s="22" t="str">
        <f>'Respostas ao formulário 1'!C33</f>
        <v>Kamila De Almeida Reis</v>
      </c>
      <c r="C33" s="22" t="str">
        <f>'Respostas ao formulário 1'!B33</f>
        <v>kamilareislima@hotmail.com</v>
      </c>
      <c r="D33" s="24">
        <f>'Respostas ao formulário 1'!O21</f>
        <v>28797</v>
      </c>
      <c r="E33" s="22" t="str">
        <f>'Respostas ao formulário 1'!Q21</f>
        <v>ITANHANGÁ</v>
      </c>
      <c r="F33" s="22" t="str">
        <f>'Respostas ao formulário 1'!R21</f>
        <v>CACS-FUNDEB</v>
      </c>
    </row>
    <row r="34">
      <c r="A34" s="22" t="str">
        <f>Form_Responses1[CPF:  XXX.XXX.XXX-XX]</f>
        <v>062.569.491-02</v>
      </c>
      <c r="B34" s="22" t="str">
        <f>'Respostas ao formulário 1'!C34</f>
        <v>KARINA RITA DE BARROS</v>
      </c>
      <c r="C34" s="22" t="str">
        <f>'Respostas ao formulário 1'!B34</f>
        <v>karinabarros772@gmail.com</v>
      </c>
      <c r="D34" s="24">
        <f>'Respostas ao formulário 1'!O3</f>
        <v>33322</v>
      </c>
      <c r="E34" s="22" t="str">
        <f>'Respostas ao formulário 1'!Q3</f>
        <v>MARCELÂNDIA</v>
      </c>
      <c r="F34" s="22" t="str">
        <f>'Respostas ao formulário 1'!R3</f>
        <v>CACS-FUNDEB</v>
      </c>
    </row>
    <row r="35">
      <c r="A35" s="22" t="str">
        <f>Form_Responses1[CPF:  XXX.XXX.XXX-XX]</f>
        <v>059.504.181-74</v>
      </c>
      <c r="B35" s="22" t="str">
        <f>'Respostas ao formulário 1'!C35</f>
        <v>Katia nervis guedes</v>
      </c>
      <c r="C35" s="22" t="str">
        <f>'Respostas ao formulário 1'!B35</f>
        <v>katia_nervis@hotmail.com</v>
      </c>
      <c r="D35" s="24">
        <f>'Respostas ao formulário 1'!O7</f>
        <v>32799</v>
      </c>
      <c r="E35" s="22" t="str">
        <f>'Respostas ao formulário 1'!Q7</f>
        <v>MARCELÂNDIA</v>
      </c>
      <c r="F35" s="22" t="str">
        <f>'Respostas ao formulário 1'!R7</f>
        <v>CACS-FUNDEB</v>
      </c>
    </row>
    <row r="36">
      <c r="A36" s="22" t="str">
        <f>Form_Responses1[CPF:  XXX.XXX.XXX-XX]</f>
        <v>059.504.181-74</v>
      </c>
      <c r="B36" s="22" t="str">
        <f>'Respostas ao formulário 1'!C36</f>
        <v>Katia nervis guedes </v>
      </c>
      <c r="C36" s="22" t="str">
        <f>'Respostas ao formulário 1'!B36</f>
        <v>katia_nervis@hotmail.com</v>
      </c>
      <c r="D36" s="24">
        <f>'Respostas ao formulário 1'!O35</f>
        <v>34437</v>
      </c>
      <c r="E36" s="22" t="str">
        <f>'Respostas ao formulário 1'!Q35</f>
        <v>NOVA GUARITA</v>
      </c>
      <c r="F36" s="22" t="str">
        <f>'Respostas ao formulário 1'!R35</f>
        <v>CACS-FUNDEB</v>
      </c>
    </row>
    <row r="37">
      <c r="A37" s="22" t="str">
        <f>Form_Responses1[CPF:  XXX.XXX.XXX-XX]</f>
        <v>036.728.641-61</v>
      </c>
      <c r="B37" s="22" t="str">
        <f>'Respostas ao formulário 1'!C37</f>
        <v>Lilian Cláudia Pereira de Oliveira</v>
      </c>
      <c r="C37" s="22" t="str">
        <f>'Respostas ao formulário 1'!B37</f>
        <v>lilianclaudia77@gmail.com</v>
      </c>
      <c r="D37" s="24">
        <f>'Respostas ao formulário 1'!O36</f>
        <v>34437</v>
      </c>
      <c r="E37" s="22" t="str">
        <f>'Respostas ao formulário 1'!Q36</f>
        <v>NOVA GUARITA</v>
      </c>
      <c r="F37" s="22" t="str">
        <f>'Respostas ao formulário 1'!R36</f>
        <v>CACS-FUNDEB</v>
      </c>
    </row>
    <row r="38">
      <c r="A38" s="22" t="str">
        <f>Form_Responses1[CPF:  XXX.XXX.XXX-XX]</f>
        <v>036.728.641-61</v>
      </c>
      <c r="B38" s="22" t="str">
        <f>'Respostas ao formulário 1'!C38</f>
        <v>Lilian Claudia Pereira de Oliveira </v>
      </c>
      <c r="C38" s="22" t="str">
        <f>'Respostas ao formulário 1'!B38</f>
        <v>liliqnclaudia77@gmail.com</v>
      </c>
      <c r="D38" s="24">
        <f>'Respostas ao formulário 1'!O34</f>
        <v>35517</v>
      </c>
      <c r="E38" s="22" t="str">
        <f>'Respostas ao formulário 1'!Q34</f>
        <v>NOVA MARINGÁ</v>
      </c>
      <c r="F38" s="22" t="str">
        <f>'Respostas ao formulário 1'!R34</f>
        <v>CACS-FUNDEB</v>
      </c>
    </row>
    <row r="39">
      <c r="A39" s="22" t="str">
        <f>Form_Responses1[CPF:  XXX.XXX.XXX-XX]</f>
        <v>830.654.741-15</v>
      </c>
      <c r="B39" s="22" t="str">
        <f>'Respostas ao formulário 1'!C39</f>
        <v>Lilian Sayuri Ono </v>
      </c>
      <c r="C39" s="22" t="str">
        <f>'Respostas ao formulário 1'!B39</f>
        <v>onolisayuri@hotmail.com</v>
      </c>
      <c r="D39" s="24">
        <f>'Respostas ao formulário 1'!O37</f>
        <v>32554</v>
      </c>
      <c r="E39" s="22" t="str">
        <f>'Respostas ao formulário 1'!Q37</f>
        <v>NOVO MUNDO</v>
      </c>
      <c r="F39" s="22" t="str">
        <f>'Respostas ao formulário 1'!R37</f>
        <v>CACS-FUNDEB</v>
      </c>
    </row>
    <row r="40">
      <c r="A40" s="22" t="str">
        <f>Form_Responses1[CPF:  XXX.XXX.XXX-XX]</f>
        <v>003.644.911-32</v>
      </c>
      <c r="B40" s="22" t="str">
        <f>'Respostas ao formulário 1'!C40</f>
        <v>LILIANE KOVALESKI DEVETAK </v>
      </c>
      <c r="C40" s="22" t="str">
        <f>'Respostas ao formulário 1'!B40</f>
        <v>lilianekovaleski_fn@hotmail.com</v>
      </c>
      <c r="D40" s="24">
        <f>'Respostas ao formulário 1'!O38</f>
        <v>32554</v>
      </c>
      <c r="E40" s="22" t="str">
        <f>'Respostas ao formulário 1'!Q38</f>
        <v>NOVO MUNDO</v>
      </c>
      <c r="F40" s="22" t="str">
        <f>'Respostas ao formulário 1'!R38</f>
        <v>CACS-FUNDEB</v>
      </c>
    </row>
    <row r="41">
      <c r="A41" s="22" t="str">
        <f>Form_Responses1[CPF:  XXX.XXX.XXX-XX]</f>
        <v>031.834.809-80</v>
      </c>
      <c r="B41" s="22" t="str">
        <f>'Respostas ao formulário 1'!C41</f>
        <v>Lucivani Marangoni Peruzzo </v>
      </c>
      <c r="C41" s="22" t="str">
        <f>'Respostas ao formulário 1'!B41</f>
        <v>lucivanimarangoniperuzzo@yahoo.com.brl</v>
      </c>
      <c r="D41" s="24">
        <f>'Respostas ao formulário 1'!O53</f>
        <v>29671</v>
      </c>
      <c r="E41" s="22" t="str">
        <f>'Respostas ao formulário 1'!Q53</f>
        <v>PEIXOTO DE AZEVEDO</v>
      </c>
      <c r="F41" s="22" t="str">
        <f>'Respostas ao formulário 1'!R53</f>
        <v>Gestão municipal</v>
      </c>
    </row>
    <row r="42">
      <c r="A42" s="22" t="str">
        <f>Form_Responses1[CPF:  XXX.XXX.XXX-XX]</f>
        <v>972.706.101-00</v>
      </c>
      <c r="B42" s="22" t="str">
        <f>'Respostas ao formulário 1'!C42</f>
        <v>Marcelo vacaro de Aquino </v>
      </c>
      <c r="C42" s="22" t="str">
        <f>'Respostas ao formulário 1'!B42</f>
        <v>marcelo.gemeos@outlook.com</v>
      </c>
      <c r="D42" s="24">
        <f>'Respostas ao formulário 1'!O9</f>
        <v>38145</v>
      </c>
      <c r="E42" s="22" t="str">
        <f>'Respostas ao formulário 1'!Q9</f>
        <v>SÃO JOSÉ DO RIO CLARO</v>
      </c>
      <c r="F42" s="22" t="str">
        <f>'Respostas ao formulário 1'!R9</f>
        <v>Gestão municipal</v>
      </c>
    </row>
    <row r="43">
      <c r="A43" s="22" t="str">
        <f>Form_Responses1[CPF:  XXX.XXX.XXX-XX]</f>
        <v>952.593.411-04</v>
      </c>
      <c r="B43" s="22" t="str">
        <f>'Respostas ao formulário 1'!C43</f>
        <v>Maria Beatriz de Magalhães Morais </v>
      </c>
      <c r="C43" s="22" t="str">
        <f>'Respostas ao formulário 1'!B43</f>
        <v>bia.lopes.magalhaes.morais@gmail.com</v>
      </c>
      <c r="D43" s="24">
        <f>'Respostas ao formulário 1'!O16</f>
        <v>32880</v>
      </c>
      <c r="E43" s="22" t="str">
        <f>'Respostas ao formulário 1'!Q16</f>
        <v>PEIXOTO DE AZEVEDO</v>
      </c>
      <c r="F43" s="22" t="str">
        <f>'Respostas ao formulário 1'!R16</f>
        <v>CACS-FUNDEB</v>
      </c>
    </row>
    <row r="44">
      <c r="A44" s="22" t="str">
        <f>Form_Responses1[CPF:  XXX.XXX.XXX-XX]</f>
        <v>818.354.421-53</v>
      </c>
      <c r="B44" s="22" t="str">
        <f>'Respostas ao formulário 1'!C44</f>
        <v>Neussania Silva de Oliveira </v>
      </c>
      <c r="C44" s="22" t="str">
        <f>'Respostas ao formulário 1'!B44</f>
        <v>neussaniasolvaoliveiraso@gmail.com</v>
      </c>
      <c r="D44" s="25">
        <f>'Respostas ao formulário 1'!O50</f>
        <v>30171</v>
      </c>
      <c r="E44" s="22" t="str">
        <f>'Respostas ao formulário 1'!Q50</f>
        <v>São José do Rio Claro</v>
      </c>
      <c r="F44" s="22" t="str">
        <f>'Respostas ao formulário 1'!R50</f>
        <v>Gestão municipal </v>
      </c>
    </row>
    <row r="45">
      <c r="A45" s="22" t="str">
        <f>Form_Responses1[CPF:  XXX.XXX.XXX-XX]</f>
        <v>848.226.941-00</v>
      </c>
      <c r="B45" s="22" t="str">
        <f>'Respostas ao formulário 1'!C45</f>
        <v>Neuzira Rosa de Brito </v>
      </c>
      <c r="C45" s="22" t="str">
        <f>'Respostas ao formulário 1'!B45</f>
        <v>neu_caf@hotmail.com</v>
      </c>
      <c r="D45" s="24">
        <f>'Respostas ao formulário 1'!O57</f>
        <v>27524</v>
      </c>
      <c r="E45" s="22" t="str">
        <f>'Respostas ao formulário 1'!Q57</f>
        <v>PEIXOTO DE AZEVEDO</v>
      </c>
      <c r="F45" s="22" t="str">
        <f>'Respostas ao formulário 1'!R57</f>
        <v>CACS-FUNDEB</v>
      </c>
    </row>
    <row r="46">
      <c r="A46" s="22" t="str">
        <f>Form_Responses1[CPF:  XXX.XXX.XXX-XX]</f>
        <v>768.855.349-00</v>
      </c>
      <c r="B46" s="22" t="str">
        <f>'Respostas ao formulário 1'!C46</f>
        <v>Noadir Josenira Tedesco Funez</v>
      </c>
      <c r="C46" s="22" t="str">
        <f>'Respostas ao formulário 1'!B46</f>
        <v>noadir.funez@edu.mt.gov.br</v>
      </c>
      <c r="D46" s="24">
        <f>'Respostas ao formulário 1'!O43</f>
        <v>29099</v>
      </c>
      <c r="E46" s="22" t="str">
        <f>'Respostas ao formulário 1'!Q43</f>
        <v>SÃO JOSÉ DO RIO CLARO</v>
      </c>
      <c r="F46" s="22" t="str">
        <f>'Respostas ao formulário 1'!R43</f>
        <v>CACS-FUNDEB</v>
      </c>
    </row>
    <row r="47">
      <c r="A47" s="22" t="str">
        <f>Form_Responses1[CPF:  XXX.XXX.XXX-XX]</f>
        <v>740.979.112-87</v>
      </c>
      <c r="B47" s="22" t="str">
        <f>'Respostas ao formulário 1'!C47</f>
        <v>Oteniel de Jesus Santos </v>
      </c>
      <c r="C47" s="22" t="str">
        <f>'Respostas ao formulário 1'!B47</f>
        <v>tynelsantos@gmail.com</v>
      </c>
      <c r="D47" s="24">
        <f>'Respostas ao formulário 1'!O13</f>
        <v>32244</v>
      </c>
      <c r="E47" s="22" t="str">
        <f>'Respostas ao formulário 1'!Q13</f>
        <v>SINOP</v>
      </c>
      <c r="F47" s="22" t="str">
        <f>'Respostas ao formulário 1'!R13</f>
        <v>Gestão municipal</v>
      </c>
    </row>
    <row r="48">
      <c r="A48" s="22" t="str">
        <f>Form_Responses1[CPF:  XXX.XXX.XXX-XX]</f>
        <v>655.744.511-15</v>
      </c>
      <c r="B48" s="22" t="str">
        <f>'Respostas ao formulário 1'!C48</f>
        <v>Paulo Sérgio leite </v>
      </c>
      <c r="C48" s="22" t="str">
        <f>'Respostas ao formulário 1'!B48</f>
        <v>pauloslped@hotmail.com</v>
      </c>
      <c r="D48" s="24">
        <f>'Respostas ao formulário 1'!O33</f>
        <v>29455</v>
      </c>
      <c r="E48" s="22" t="str">
        <f>'Respostas ao formulário 1'!Q33</f>
        <v>SORRISO</v>
      </c>
      <c r="F48" s="22" t="str">
        <f>'Respostas ao formulário 1'!R33</f>
        <v>CACS-FUNDEB</v>
      </c>
    </row>
    <row r="49">
      <c r="A49" s="22" t="str">
        <f>Form_Responses1[CPF:  XXX.XXX.XXX-XX]</f>
        <v>047.708.131-20</v>
      </c>
      <c r="B49" s="22" t="str">
        <f>'Respostas ao formulário 1'!C49</f>
        <v>Ramilha Rayane Bittencourt Silva</v>
      </c>
      <c r="C49" s="22" t="str">
        <f>'Respostas ao formulário 1'!B49</f>
        <v>ramilha_silva@hotmail.com</v>
      </c>
      <c r="D49" s="25">
        <f>'Respostas ao formulário 1'!O27</f>
        <v>33857</v>
      </c>
      <c r="E49" s="22" t="str">
        <f>'Respostas ao formulário 1'!Q27</f>
        <v>Sinop</v>
      </c>
      <c r="F49" s="22" t="str">
        <f>'Respostas ao formulário 1'!R27</f>
        <v>Gestão municipal</v>
      </c>
    </row>
    <row r="50">
      <c r="A50" s="22" t="str">
        <f>Form_Responses1[CPF:  XXX.XXX.XXX-XX]</f>
        <v>880.581.311-72</v>
      </c>
      <c r="B50" s="22" t="str">
        <f>'Respostas ao formulário 1'!C50</f>
        <v>Ricardo Martello de Oliveira Ferro </v>
      </c>
      <c r="C50" s="22" t="str">
        <f>'Respostas ao formulário 1'!B50</f>
        <v>ricardomartello@outlook.com</v>
      </c>
      <c r="D50" s="24">
        <f>'Respostas ao formulário 1'!O28</f>
        <v>38376</v>
      </c>
      <c r="E50" s="22" t="str">
        <f>'Respostas ao formulário 1'!Q28</f>
        <v>SINOP</v>
      </c>
      <c r="F50" s="22" t="str">
        <f>'Respostas ao formulário 1'!R28</f>
        <v>Gestão municipal</v>
      </c>
    </row>
    <row r="51">
      <c r="A51" s="22" t="str">
        <f>Form_Responses1[CPF:  XXX.XXX.XXX-XX]</f>
        <v>019.191.411-89</v>
      </c>
      <c r="B51" s="22" t="str">
        <f>'Respostas ao formulário 1'!C51</f>
        <v>Rosangela Triburtino Colman Barbiero </v>
      </c>
      <c r="C51" s="22" t="str">
        <f>'Respostas ao formulário 1'!B51</f>
        <v>rosangelatricolman@gmail.com</v>
      </c>
      <c r="D51" s="24">
        <f>'Respostas ao formulário 1'!O46</f>
        <v>25882</v>
      </c>
      <c r="E51" s="22" t="str">
        <f>'Respostas ao formulário 1'!Q46</f>
        <v>SORRISO</v>
      </c>
      <c r="F51" s="22" t="str">
        <f>'Respostas ao formulário 1'!R46</f>
        <v>CACS-FUNDEB</v>
      </c>
    </row>
    <row r="52">
      <c r="A52" s="22" t="str">
        <f>Form_Responses1[CPF:  XXX.XXX.XXX-XX]</f>
        <v>048.622.131-89</v>
      </c>
      <c r="B52" s="22" t="str">
        <f>'Respostas ao formulário 1'!C52</f>
        <v>Rosiane Apararecida Pereira de Lima</v>
      </c>
      <c r="C52" s="22" t="str">
        <f>'Respostas ao formulário 1'!B52</f>
        <v>rosiane.lima@edu.mt.gov.br</v>
      </c>
      <c r="D52" s="24">
        <f>'Respostas ao formulário 1'!O48</f>
        <v>26517</v>
      </c>
      <c r="E52" s="22" t="str">
        <f>'Respostas ao formulário 1'!Q48</f>
        <v>TERRA NOVA DO NORTE</v>
      </c>
      <c r="F52" s="22" t="str">
        <f>'Respostas ao formulário 1'!R48</f>
        <v>CACS-FUNDEB</v>
      </c>
    </row>
    <row r="53">
      <c r="A53" s="22" t="str">
        <f>Form_Responses1[CPF:  XXX.XXX.XXX-XX]</f>
        <v>928.811.491-20</v>
      </c>
      <c r="B53" s="22" t="str">
        <f>'Respostas ao formulário 1'!C53</f>
        <v>Rosie Irede Viana Vitor </v>
      </c>
      <c r="C53" s="22" t="str">
        <f>'Respostas ao formulário 1'!B53</f>
        <v>rosieiredevianavitor@gmail.com</v>
      </c>
      <c r="D53" s="24">
        <f>'Respostas ao formulário 1'!O11</f>
        <v>32228</v>
      </c>
      <c r="E53" s="22" t="str">
        <f>'Respostas ao formulário 1'!Q11</f>
        <v>SORRISO</v>
      </c>
      <c r="F53" s="22" t="str">
        <f>'Respostas ao formulário 1'!R11</f>
        <v>Gestão municipal</v>
      </c>
    </row>
    <row r="54">
      <c r="A54" s="22" t="str">
        <f>Form_Responses1[CPF:  XXX.XXX.XXX-XX]</f>
        <v>933.784.590-34</v>
      </c>
      <c r="B54" s="22" t="str">
        <f>'Respostas ao formulário 1'!C54</f>
        <v>Sandra Belusso Casagrande </v>
      </c>
      <c r="C54" s="22" t="str">
        <f>'Respostas ao formulário 1'!B54</f>
        <v>sandrabelussocasagrande@gmail.com</v>
      </c>
      <c r="D54" s="24">
        <f>'Respostas ao formulário 1'!O30</f>
        <v>33795</v>
      </c>
      <c r="E54" s="22" t="str">
        <f>'Respostas ao formulário 1'!Q30</f>
        <v>TERRA NOVA DO NORTE</v>
      </c>
      <c r="F54" s="22" t="str">
        <f>'Respostas ao formulário 1'!R30</f>
        <v>Gestão municipal</v>
      </c>
    </row>
    <row r="55">
      <c r="A55" s="22" t="str">
        <f>Form_Responses1[CPF:  XXX.XXX.XXX-XX]</f>
        <v>016.236.381-86</v>
      </c>
      <c r="B55" s="22" t="str">
        <f>'Respostas ao formulário 1'!C55</f>
        <v>Simony Fernanda Fontana Palenschi </v>
      </c>
      <c r="C55" s="22" t="str">
        <f>'Respostas ao formulário 1'!B55</f>
        <v>mony.fer@hotmail.com</v>
      </c>
      <c r="D55" s="24">
        <f>'Respostas ao formulário 1'!O41</f>
        <v>30134</v>
      </c>
      <c r="E55" s="22" t="str">
        <f>'Respostas ao formulário 1'!Q41</f>
        <v>UNIÃO DO SUL</v>
      </c>
      <c r="F55" s="22" t="str">
        <f>'Respostas ao formulário 1'!R41</f>
        <v>Gestão municipal</v>
      </c>
    </row>
    <row r="56">
      <c r="A56" s="22" t="str">
        <f>Form_Responses1[CPF:  XXX.XXX.XXX-XX]</f>
        <v>061.513.942-67</v>
      </c>
      <c r="B56" s="22" t="str">
        <f>'Respostas ao formulário 1'!C56</f>
        <v>Thiago Henrique de Oliveira Morais </v>
      </c>
      <c r="C56" s="22" t="str">
        <f>'Respostas ao formulário 1'!B56</f>
        <v>henrique.thiagoom@gmail.com</v>
      </c>
      <c r="D56" s="24">
        <f>'Respostas ao formulário 1'!O8</f>
        <v>36982</v>
      </c>
      <c r="E56" s="22" t="str">
        <f>'Respostas ao formulário 1'!Q8</f>
        <v>VERA</v>
      </c>
      <c r="F56" s="22" t="str">
        <f>'Respostas ao formulário 1'!R8</f>
        <v>Gestão municipal</v>
      </c>
    </row>
    <row r="57">
      <c r="A57" s="22" t="str">
        <f>Form_Responses1[CPF:  XXX.XXX.XXX-XX]</f>
        <v>915.060.421-04</v>
      </c>
      <c r="B57" s="22" t="str">
        <f>'Respostas ao formulário 1'!C57</f>
        <v>Vânia Conceição de Souza Chambo </v>
      </c>
      <c r="C57" s="22" t="str">
        <f>'Respostas ao formulário 1'!B57</f>
        <v>chambo_@hotmail.com</v>
      </c>
      <c r="D57" s="24">
        <f>'Respostas ao formulário 1'!O52</f>
        <v>34262</v>
      </c>
      <c r="E57" s="22" t="str">
        <f>'Respostas ao formulário 1'!Q52</f>
        <v>UNIÃO DO SUL</v>
      </c>
      <c r="F57" s="22" t="str">
        <f>'Respostas ao formulário 1'!R52</f>
        <v>CACS-FUNDEB</v>
      </c>
    </row>
  </sheetData>
  <autoFilter ref="$A$1:$F$57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1" t="s">
        <v>2</v>
      </c>
      <c r="D1" s="1" t="s">
        <v>230</v>
      </c>
      <c r="E1" s="1" t="s">
        <v>5</v>
      </c>
      <c r="F1" s="1" t="s">
        <v>236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237</v>
      </c>
    </row>
    <row r="2" ht="22.5" customHeight="1">
      <c r="A2" s="27">
        <v>45811.454602604164</v>
      </c>
      <c r="B2" s="13" t="s">
        <v>238</v>
      </c>
      <c r="C2" s="13" t="s">
        <v>239</v>
      </c>
      <c r="D2" s="13" t="s">
        <v>240</v>
      </c>
      <c r="E2" s="14">
        <v>27050.0</v>
      </c>
      <c r="F2" s="13" t="s">
        <v>241</v>
      </c>
      <c r="G2" s="13" t="s">
        <v>242</v>
      </c>
      <c r="H2" s="13" t="s">
        <v>243</v>
      </c>
      <c r="I2" s="13"/>
      <c r="J2" s="13"/>
      <c r="K2" s="13" t="s">
        <v>244</v>
      </c>
      <c r="L2" s="13"/>
    </row>
    <row r="3" ht="22.5" customHeight="1">
      <c r="A3" s="27">
        <v>45811.601318182875</v>
      </c>
      <c r="B3" s="13" t="s">
        <v>162</v>
      </c>
      <c r="C3" s="13" t="s">
        <v>245</v>
      </c>
      <c r="D3" s="13" t="s">
        <v>164</v>
      </c>
      <c r="E3" s="14">
        <v>30103.0</v>
      </c>
      <c r="F3" s="13" t="s">
        <v>246</v>
      </c>
      <c r="G3" s="13" t="s">
        <v>247</v>
      </c>
      <c r="H3" s="13" t="s">
        <v>243</v>
      </c>
      <c r="I3" s="13"/>
      <c r="J3" s="13"/>
      <c r="K3" s="13" t="s">
        <v>248</v>
      </c>
      <c r="L3" s="13"/>
    </row>
    <row r="4" ht="22.5" customHeight="1">
      <c r="A4" s="27">
        <v>45811.602310393515</v>
      </c>
      <c r="B4" s="13" t="s">
        <v>202</v>
      </c>
      <c r="C4" s="13" t="s">
        <v>203</v>
      </c>
      <c r="D4" s="13" t="s">
        <v>204</v>
      </c>
      <c r="E4" s="14">
        <v>31063.0</v>
      </c>
      <c r="F4" s="13" t="s">
        <v>249</v>
      </c>
      <c r="G4" s="13" t="s">
        <v>247</v>
      </c>
      <c r="H4" s="13" t="s">
        <v>243</v>
      </c>
      <c r="I4" s="13"/>
      <c r="J4" s="13"/>
      <c r="K4" s="13" t="s">
        <v>250</v>
      </c>
      <c r="L4" s="13"/>
    </row>
    <row r="5" ht="22.5" customHeight="1">
      <c r="A5" s="27">
        <v>45811.61538934028</v>
      </c>
      <c r="B5" s="13" t="s">
        <v>251</v>
      </c>
      <c r="C5" s="13" t="s">
        <v>252</v>
      </c>
      <c r="D5" s="13" t="s">
        <v>253</v>
      </c>
      <c r="E5" s="14">
        <v>22243.0</v>
      </c>
      <c r="F5" s="13" t="s">
        <v>254</v>
      </c>
      <c r="G5" s="13" t="s">
        <v>247</v>
      </c>
      <c r="H5" s="13" t="s">
        <v>75</v>
      </c>
      <c r="I5" s="13" t="s">
        <v>255</v>
      </c>
      <c r="J5" s="13"/>
      <c r="K5" s="13" t="s">
        <v>256</v>
      </c>
      <c r="L5" s="13"/>
    </row>
    <row r="6" ht="22.5" customHeight="1">
      <c r="A6" s="27">
        <v>45811.67096614583</v>
      </c>
      <c r="B6" s="13" t="s">
        <v>30</v>
      </c>
      <c r="C6" s="13" t="s">
        <v>31</v>
      </c>
      <c r="D6" s="13" t="s">
        <v>32</v>
      </c>
      <c r="E6" s="14">
        <v>34236.0</v>
      </c>
      <c r="F6" s="13" t="s">
        <v>257</v>
      </c>
      <c r="G6" s="13" t="s">
        <v>258</v>
      </c>
      <c r="H6" s="13" t="s">
        <v>75</v>
      </c>
      <c r="I6" s="13" t="s">
        <v>259</v>
      </c>
      <c r="J6" s="13" t="s">
        <v>260</v>
      </c>
      <c r="K6" s="13"/>
      <c r="L6" s="13"/>
    </row>
    <row r="7" ht="22.5" customHeight="1">
      <c r="A7" s="27">
        <v>45811.69461333333</v>
      </c>
      <c r="B7" s="13" t="s">
        <v>77</v>
      </c>
      <c r="C7" s="13" t="s">
        <v>261</v>
      </c>
      <c r="D7" s="13" t="s">
        <v>79</v>
      </c>
      <c r="E7" s="14">
        <v>35992.0</v>
      </c>
      <c r="F7" s="13" t="s">
        <v>262</v>
      </c>
      <c r="G7" s="13" t="s">
        <v>258</v>
      </c>
      <c r="H7" s="13" t="s">
        <v>75</v>
      </c>
      <c r="I7" s="13" t="s">
        <v>263</v>
      </c>
      <c r="J7" s="13"/>
      <c r="K7" s="13"/>
      <c r="L7" s="13"/>
    </row>
    <row r="8" ht="22.5" customHeight="1">
      <c r="A8" s="27">
        <v>45812.711735624995</v>
      </c>
      <c r="B8" s="13" t="s">
        <v>264</v>
      </c>
      <c r="C8" s="13" t="s">
        <v>265</v>
      </c>
      <c r="D8" s="13" t="s">
        <v>167</v>
      </c>
      <c r="E8" s="14">
        <v>30134.0</v>
      </c>
      <c r="F8" s="13" t="s">
        <v>168</v>
      </c>
      <c r="G8" s="13" t="s">
        <v>266</v>
      </c>
      <c r="H8" s="13" t="s">
        <v>75</v>
      </c>
      <c r="I8" s="13" t="s">
        <v>267</v>
      </c>
      <c r="J8" s="13" t="s">
        <v>268</v>
      </c>
      <c r="K8" s="13"/>
      <c r="L8" s="13"/>
    </row>
    <row r="9" ht="22.5" customHeight="1">
      <c r="A9" s="27">
        <v>45812.73516967593</v>
      </c>
      <c r="B9" s="13" t="s">
        <v>91</v>
      </c>
      <c r="C9" s="13" t="s">
        <v>269</v>
      </c>
      <c r="D9" s="13" t="s">
        <v>93</v>
      </c>
      <c r="E9" s="14">
        <v>32723.0</v>
      </c>
      <c r="F9" s="13" t="s">
        <v>270</v>
      </c>
      <c r="G9" s="13" t="s">
        <v>104</v>
      </c>
      <c r="H9" s="13" t="s">
        <v>75</v>
      </c>
      <c r="I9" s="13" t="s">
        <v>271</v>
      </c>
      <c r="J9" s="13"/>
      <c r="K9" s="13"/>
      <c r="L9" s="13"/>
    </row>
    <row r="10" ht="22.5" customHeight="1">
      <c r="A10" s="27">
        <v>45812.73782293982</v>
      </c>
      <c r="B10" s="13" t="s">
        <v>205</v>
      </c>
      <c r="C10" s="13" t="s">
        <v>272</v>
      </c>
      <c r="D10" s="13" t="s">
        <v>207</v>
      </c>
      <c r="E10" s="14">
        <v>34262.0</v>
      </c>
      <c r="F10" s="13" t="s">
        <v>208</v>
      </c>
      <c r="G10" s="13" t="s">
        <v>266</v>
      </c>
      <c r="H10" s="13" t="s">
        <v>243</v>
      </c>
      <c r="I10" s="13"/>
      <c r="J10" s="13"/>
      <c r="K10" s="13" t="s">
        <v>273</v>
      </c>
      <c r="L10" s="13"/>
    </row>
    <row r="11" ht="22.5" customHeight="1">
      <c r="A11" s="27">
        <v>45812.740901446756</v>
      </c>
      <c r="B11" s="13" t="s">
        <v>223</v>
      </c>
      <c r="C11" s="13" t="s">
        <v>274</v>
      </c>
      <c r="D11" s="13" t="s">
        <v>225</v>
      </c>
      <c r="E11" s="14">
        <v>27524.0</v>
      </c>
      <c r="F11" s="13" t="s">
        <v>226</v>
      </c>
      <c r="G11" s="13" t="s">
        <v>275</v>
      </c>
      <c r="H11" s="13" t="s">
        <v>243</v>
      </c>
      <c r="I11" s="13"/>
      <c r="J11" s="13"/>
      <c r="K11" s="13" t="s">
        <v>244</v>
      </c>
      <c r="L11" s="13"/>
    </row>
    <row r="12" ht="22.5" customHeight="1">
      <c r="A12" s="27">
        <v>45812.741334074075</v>
      </c>
      <c r="B12" s="13" t="s">
        <v>80</v>
      </c>
      <c r="C12" s="13" t="s">
        <v>276</v>
      </c>
      <c r="D12" s="13" t="s">
        <v>82</v>
      </c>
      <c r="E12" s="14">
        <v>32880.0</v>
      </c>
      <c r="F12" s="13" t="s">
        <v>83</v>
      </c>
      <c r="G12" s="13" t="s">
        <v>275</v>
      </c>
      <c r="H12" s="13" t="s">
        <v>243</v>
      </c>
      <c r="I12" s="13"/>
      <c r="J12" s="13"/>
      <c r="K12" s="13" t="s">
        <v>277</v>
      </c>
      <c r="L12" s="13"/>
    </row>
    <row r="13" ht="22.5" customHeight="1">
      <c r="A13" s="27">
        <v>45812.7425634838</v>
      </c>
      <c r="B13" s="13" t="s">
        <v>209</v>
      </c>
      <c r="C13" s="13" t="s">
        <v>278</v>
      </c>
      <c r="D13" s="13" t="s">
        <v>211</v>
      </c>
      <c r="E13" s="14">
        <v>29671.0</v>
      </c>
      <c r="F13" s="13" t="s">
        <v>212</v>
      </c>
      <c r="G13" s="13" t="s">
        <v>275</v>
      </c>
      <c r="H13" s="13" t="s">
        <v>75</v>
      </c>
      <c r="I13" s="13" t="s">
        <v>279</v>
      </c>
      <c r="J13" s="13"/>
      <c r="K13" s="13"/>
      <c r="L13" s="13"/>
    </row>
    <row r="14" ht="22.5" customHeight="1">
      <c r="A14" s="27">
        <v>45812.744084756945</v>
      </c>
      <c r="B14" s="13" t="s">
        <v>123</v>
      </c>
      <c r="C14" s="13" t="s">
        <v>280</v>
      </c>
      <c r="D14" s="13" t="s">
        <v>281</v>
      </c>
      <c r="E14" s="14">
        <v>28458.0</v>
      </c>
      <c r="F14" s="13" t="s">
        <v>126</v>
      </c>
      <c r="G14" s="13" t="s">
        <v>275</v>
      </c>
      <c r="H14" s="13" t="s">
        <v>75</v>
      </c>
      <c r="I14" s="13" t="s">
        <v>282</v>
      </c>
      <c r="J14" s="13" t="s">
        <v>283</v>
      </c>
      <c r="K14" s="13"/>
      <c r="L14" s="13"/>
    </row>
    <row r="15" ht="22.5" customHeight="1">
      <c r="A15" s="27">
        <v>45812.799817499996</v>
      </c>
      <c r="B15" s="13" t="s">
        <v>202</v>
      </c>
      <c r="C15" s="13" t="s">
        <v>203</v>
      </c>
      <c r="D15" s="13" t="s">
        <v>204</v>
      </c>
      <c r="E15" s="14">
        <v>31063.0</v>
      </c>
      <c r="F15" s="13" t="s">
        <v>249</v>
      </c>
      <c r="G15" s="13" t="s">
        <v>247</v>
      </c>
      <c r="H15" s="13" t="s">
        <v>243</v>
      </c>
      <c r="I15" s="13"/>
      <c r="J15" s="13"/>
      <c r="K15" s="13" t="s">
        <v>250</v>
      </c>
      <c r="L15" s="13"/>
    </row>
    <row r="16" ht="22.5" customHeight="1">
      <c r="A16" s="27">
        <v>45813.37073385417</v>
      </c>
      <c r="B16" s="13" t="s">
        <v>284</v>
      </c>
      <c r="C16" s="13" t="s">
        <v>285</v>
      </c>
      <c r="D16" s="13" t="s">
        <v>286</v>
      </c>
      <c r="E16" s="14">
        <v>36348.0</v>
      </c>
      <c r="F16" s="13" t="s">
        <v>287</v>
      </c>
      <c r="G16" s="13" t="s">
        <v>288</v>
      </c>
      <c r="H16" s="13" t="s">
        <v>75</v>
      </c>
      <c r="I16" s="13" t="s">
        <v>289</v>
      </c>
      <c r="J16" s="13"/>
      <c r="K16" s="13"/>
      <c r="L16" s="13"/>
    </row>
    <row r="17" ht="22.5" customHeight="1">
      <c r="A17" s="27">
        <v>45813.421519421296</v>
      </c>
      <c r="B17" s="13" t="s">
        <v>146</v>
      </c>
      <c r="C17" s="13" t="s">
        <v>147</v>
      </c>
      <c r="D17" s="13" t="s">
        <v>148</v>
      </c>
      <c r="E17" s="14">
        <v>35517.0</v>
      </c>
      <c r="F17" s="13" t="s">
        <v>290</v>
      </c>
      <c r="G17" s="13" t="s">
        <v>291</v>
      </c>
      <c r="H17" s="13" t="s">
        <v>243</v>
      </c>
      <c r="I17" s="13"/>
      <c r="J17" s="13"/>
      <c r="K17" s="13" t="s">
        <v>292</v>
      </c>
      <c r="L17" s="13"/>
    </row>
    <row r="18" ht="22.5" customHeight="1">
      <c r="A18" s="27">
        <v>45813.44241820602</v>
      </c>
      <c r="B18" s="13" t="s">
        <v>84</v>
      </c>
      <c r="C18" s="13" t="s">
        <v>85</v>
      </c>
      <c r="D18" s="13" t="s">
        <v>86</v>
      </c>
      <c r="E18" s="14">
        <v>30887.0</v>
      </c>
      <c r="F18" s="13" t="s">
        <v>293</v>
      </c>
      <c r="G18" s="13" t="s">
        <v>291</v>
      </c>
      <c r="H18" s="13" t="s">
        <v>75</v>
      </c>
      <c r="I18" s="13" t="s">
        <v>294</v>
      </c>
      <c r="J18" s="13"/>
      <c r="K18" s="13"/>
      <c r="L18" s="13"/>
    </row>
    <row r="19" ht="22.5" customHeight="1">
      <c r="A19" s="27">
        <v>45815.70848540509</v>
      </c>
      <c r="B19" s="13" t="s">
        <v>27</v>
      </c>
      <c r="C19" s="13" t="s">
        <v>28</v>
      </c>
      <c r="D19" s="13" t="s">
        <v>29</v>
      </c>
      <c r="E19" s="14">
        <v>35610.0</v>
      </c>
      <c r="F19" s="13" t="s">
        <v>295</v>
      </c>
      <c r="G19" s="13" t="s">
        <v>74</v>
      </c>
      <c r="H19" s="13" t="s">
        <v>243</v>
      </c>
      <c r="I19" s="13"/>
      <c r="J19" s="13"/>
      <c r="K19" s="13" t="s">
        <v>250</v>
      </c>
      <c r="L19" s="13"/>
    </row>
    <row r="20" ht="22.5" customHeight="1">
      <c r="A20" s="27">
        <v>45817.40695346065</v>
      </c>
      <c r="B20" s="13" t="s">
        <v>189</v>
      </c>
      <c r="C20" s="13" t="s">
        <v>190</v>
      </c>
      <c r="D20" s="13" t="s">
        <v>191</v>
      </c>
      <c r="E20" s="14">
        <v>26517.0</v>
      </c>
      <c r="F20" s="13" t="s">
        <v>192</v>
      </c>
      <c r="G20" s="13" t="s">
        <v>296</v>
      </c>
      <c r="H20" s="13" t="s">
        <v>243</v>
      </c>
      <c r="I20" s="13"/>
      <c r="J20" s="13"/>
      <c r="K20" s="13" t="s">
        <v>250</v>
      </c>
      <c r="L20" s="13"/>
    </row>
    <row r="21" ht="22.5" customHeight="1">
      <c r="A21" s="27">
        <v>45817.40863262731</v>
      </c>
      <c r="B21" s="13" t="s">
        <v>297</v>
      </c>
      <c r="C21" s="13" t="s">
        <v>298</v>
      </c>
      <c r="D21" s="13" t="s">
        <v>178</v>
      </c>
      <c r="E21" s="14">
        <v>29275.0</v>
      </c>
      <c r="F21" s="13" t="s">
        <v>299</v>
      </c>
      <c r="G21" s="13" t="s">
        <v>74</v>
      </c>
      <c r="H21" s="13" t="s">
        <v>75</v>
      </c>
      <c r="I21" s="13" t="s">
        <v>300</v>
      </c>
      <c r="J21" s="13"/>
      <c r="K21" s="13"/>
      <c r="L21" s="13"/>
    </row>
    <row r="22" ht="22.5" customHeight="1">
      <c r="A22" s="27">
        <v>45817.58430295139</v>
      </c>
      <c r="B22" s="13" t="s">
        <v>301</v>
      </c>
      <c r="C22" s="13" t="s">
        <v>302</v>
      </c>
      <c r="D22" s="13" t="s">
        <v>303</v>
      </c>
      <c r="E22" s="14">
        <v>35021.0</v>
      </c>
      <c r="F22" s="13" t="s">
        <v>304</v>
      </c>
      <c r="G22" s="13" t="s">
        <v>74</v>
      </c>
      <c r="H22" s="13" t="s">
        <v>75</v>
      </c>
      <c r="I22" s="13" t="s">
        <v>305</v>
      </c>
      <c r="J22" s="13"/>
      <c r="K22" s="13"/>
      <c r="L22" s="13"/>
    </row>
    <row r="23" ht="22.5" customHeight="1">
      <c r="A23" s="27">
        <v>45817.74718523148</v>
      </c>
      <c r="B23" s="13" t="s">
        <v>129</v>
      </c>
      <c r="C23" s="13" t="s">
        <v>130</v>
      </c>
      <c r="D23" s="13" t="s">
        <v>131</v>
      </c>
      <c r="E23" s="14">
        <v>33795.0</v>
      </c>
      <c r="F23" s="13" t="s">
        <v>132</v>
      </c>
      <c r="G23" s="13" t="s">
        <v>296</v>
      </c>
      <c r="H23" s="13" t="s">
        <v>75</v>
      </c>
      <c r="I23" s="13" t="s">
        <v>306</v>
      </c>
      <c r="J23" s="13"/>
      <c r="K23" s="13"/>
      <c r="L23" s="13"/>
    </row>
    <row r="24" ht="22.5" customHeight="1">
      <c r="A24" s="27">
        <v>45818.597142812505</v>
      </c>
      <c r="B24" s="13" t="s">
        <v>307</v>
      </c>
      <c r="C24" s="13" t="s">
        <v>308</v>
      </c>
      <c r="D24" s="13" t="s">
        <v>99</v>
      </c>
      <c r="E24" s="14">
        <v>29775.0</v>
      </c>
      <c r="F24" s="13" t="s">
        <v>309</v>
      </c>
      <c r="G24" s="13" t="s">
        <v>310</v>
      </c>
      <c r="H24" s="13" t="s">
        <v>75</v>
      </c>
      <c r="I24" s="13" t="s">
        <v>311</v>
      </c>
      <c r="J24" s="13"/>
      <c r="K24" s="13"/>
      <c r="L24" s="13"/>
    </row>
    <row r="25" ht="22.5" customHeight="1">
      <c r="A25" s="27">
        <v>45819.42251052083</v>
      </c>
      <c r="B25" s="13" t="s">
        <v>227</v>
      </c>
      <c r="C25" s="13" t="s">
        <v>312</v>
      </c>
      <c r="D25" s="13" t="s">
        <v>228</v>
      </c>
      <c r="E25" s="14">
        <v>26682.0</v>
      </c>
      <c r="F25" s="13" t="s">
        <v>229</v>
      </c>
      <c r="G25" s="13" t="s">
        <v>313</v>
      </c>
      <c r="H25" s="13" t="s">
        <v>75</v>
      </c>
      <c r="I25" s="13" t="s">
        <v>314</v>
      </c>
      <c r="J25" s="13"/>
      <c r="K25" s="13"/>
      <c r="L25" s="13"/>
    </row>
    <row r="26" ht="22.5" customHeight="1">
      <c r="A26" s="27">
        <v>45819.55082957176</v>
      </c>
      <c r="B26" s="13" t="s">
        <v>119</v>
      </c>
      <c r="C26" s="13" t="s">
        <v>120</v>
      </c>
      <c r="D26" s="13" t="s">
        <v>121</v>
      </c>
      <c r="E26" s="14">
        <v>38376.0</v>
      </c>
      <c r="F26" s="13" t="s">
        <v>122</v>
      </c>
      <c r="G26" s="13" t="s">
        <v>288</v>
      </c>
      <c r="H26" s="13" t="s">
        <v>75</v>
      </c>
      <c r="I26" s="13" t="s">
        <v>315</v>
      </c>
      <c r="J26" s="13"/>
      <c r="K26" s="13"/>
      <c r="L26" s="13"/>
    </row>
    <row r="27" ht="22.5" customHeight="1">
      <c r="A27" s="27">
        <v>45819.649608506945</v>
      </c>
      <c r="B27" s="13" t="s">
        <v>316</v>
      </c>
      <c r="C27" s="13" t="s">
        <v>317</v>
      </c>
      <c r="D27" s="13" t="s">
        <v>318</v>
      </c>
      <c r="E27" s="14">
        <v>27047.0</v>
      </c>
      <c r="F27" s="13" t="s">
        <v>319</v>
      </c>
      <c r="G27" s="13" t="s">
        <v>242</v>
      </c>
      <c r="H27" s="13" t="s">
        <v>75</v>
      </c>
      <c r="I27" s="13" t="s">
        <v>320</v>
      </c>
      <c r="J27" s="13" t="s">
        <v>321</v>
      </c>
      <c r="K27" s="13"/>
      <c r="L27" s="13"/>
    </row>
    <row r="28" ht="22.5" customHeight="1">
      <c r="A28" s="27">
        <v>45819.685972499996</v>
      </c>
      <c r="B28" s="13" t="s">
        <v>66</v>
      </c>
      <c r="C28" s="13" t="s">
        <v>322</v>
      </c>
      <c r="D28" s="13" t="s">
        <v>68</v>
      </c>
      <c r="E28" s="14">
        <v>32244.0</v>
      </c>
      <c r="F28" s="13" t="s">
        <v>69</v>
      </c>
      <c r="G28" s="13" t="s">
        <v>288</v>
      </c>
      <c r="H28" s="13" t="s">
        <v>75</v>
      </c>
      <c r="I28" s="13" t="s">
        <v>323</v>
      </c>
      <c r="J28" s="13"/>
      <c r="K28" s="13"/>
      <c r="L28" s="13"/>
    </row>
    <row r="29" ht="22.5" customHeight="1">
      <c r="A29" s="27">
        <v>45819.686731724534</v>
      </c>
      <c r="B29" s="13" t="s">
        <v>217</v>
      </c>
      <c r="C29" s="13" t="s">
        <v>324</v>
      </c>
      <c r="D29" s="13" t="s">
        <v>219</v>
      </c>
      <c r="E29" s="14">
        <v>32075.0</v>
      </c>
      <c r="F29" s="13" t="s">
        <v>325</v>
      </c>
      <c r="G29" s="13" t="s">
        <v>310</v>
      </c>
      <c r="H29" s="13" t="s">
        <v>75</v>
      </c>
      <c r="I29" s="13" t="s">
        <v>326</v>
      </c>
      <c r="J29" s="13" t="s">
        <v>36</v>
      </c>
      <c r="K29" s="13"/>
      <c r="L29" s="13"/>
    </row>
    <row r="30" ht="22.5" customHeight="1">
      <c r="A30" s="27">
        <v>45820.69915747685</v>
      </c>
      <c r="B30" s="13" t="s">
        <v>327</v>
      </c>
      <c r="C30" s="13" t="s">
        <v>328</v>
      </c>
      <c r="D30" s="13" t="s">
        <v>329</v>
      </c>
      <c r="E30" s="14">
        <v>28627.0</v>
      </c>
      <c r="F30" s="13" t="s">
        <v>330</v>
      </c>
      <c r="G30" s="13" t="s">
        <v>331</v>
      </c>
      <c r="H30" s="13" t="s">
        <v>75</v>
      </c>
      <c r="I30" s="13" t="s">
        <v>332</v>
      </c>
      <c r="J30" s="13"/>
      <c r="K30" s="13"/>
      <c r="L30" s="13"/>
    </row>
    <row r="31" ht="22.5" customHeight="1">
      <c r="A31" s="27">
        <v>45820.70127939815</v>
      </c>
      <c r="B31" s="13" t="s">
        <v>327</v>
      </c>
      <c r="C31" s="13" t="s">
        <v>333</v>
      </c>
      <c r="D31" s="13" t="s">
        <v>215</v>
      </c>
      <c r="E31" s="14">
        <v>28551.0</v>
      </c>
      <c r="F31" s="13" t="s">
        <v>216</v>
      </c>
      <c r="G31" s="13" t="s">
        <v>331</v>
      </c>
      <c r="H31" s="13" t="s">
        <v>75</v>
      </c>
      <c r="I31" s="13" t="s">
        <v>334</v>
      </c>
      <c r="J31" s="13"/>
      <c r="K31" s="13"/>
      <c r="L31" s="13"/>
    </row>
    <row r="32" ht="22.5" customHeight="1">
      <c r="A32" s="27">
        <v>45820.70660172454</v>
      </c>
      <c r="B32" s="13" t="s">
        <v>327</v>
      </c>
      <c r="C32" s="13" t="s">
        <v>335</v>
      </c>
      <c r="D32" s="13" t="s">
        <v>25</v>
      </c>
      <c r="E32" s="14">
        <v>33322.0</v>
      </c>
      <c r="F32" s="13" t="s">
        <v>26</v>
      </c>
      <c r="G32" s="13" t="s">
        <v>331</v>
      </c>
      <c r="H32" s="13" t="s">
        <v>243</v>
      </c>
      <c r="I32" s="13"/>
      <c r="J32" s="13"/>
      <c r="K32" s="13" t="s">
        <v>336</v>
      </c>
      <c r="L32" s="13"/>
    </row>
    <row r="33" ht="22.5" customHeight="1">
      <c r="A33" s="27">
        <v>45820.711544942125</v>
      </c>
      <c r="B33" s="13" t="s">
        <v>327</v>
      </c>
      <c r="C33" s="13" t="s">
        <v>337</v>
      </c>
      <c r="D33" s="13" t="s">
        <v>43</v>
      </c>
      <c r="E33" s="14">
        <v>32799.0</v>
      </c>
      <c r="F33" s="13" t="s">
        <v>44</v>
      </c>
      <c r="G33" s="13" t="s">
        <v>331</v>
      </c>
      <c r="H33" s="13" t="s">
        <v>243</v>
      </c>
      <c r="I33" s="13"/>
      <c r="J33" s="13"/>
      <c r="K33" s="13" t="s">
        <v>334</v>
      </c>
      <c r="L33" s="13"/>
    </row>
    <row r="34" ht="22.5" customHeight="1">
      <c r="A34" s="27">
        <v>45820.830318692126</v>
      </c>
      <c r="B34" s="13" t="s">
        <v>182</v>
      </c>
      <c r="C34" s="13" t="s">
        <v>183</v>
      </c>
      <c r="D34" s="13" t="s">
        <v>338</v>
      </c>
      <c r="E34" s="14">
        <v>25882.0</v>
      </c>
      <c r="F34" s="13" t="s">
        <v>339</v>
      </c>
      <c r="G34" s="13" t="s">
        <v>340</v>
      </c>
      <c r="H34" s="13" t="s">
        <v>243</v>
      </c>
      <c r="I34" s="13"/>
      <c r="J34" s="13"/>
      <c r="K34" s="13" t="s">
        <v>341</v>
      </c>
      <c r="L34" s="13"/>
    </row>
    <row r="35" ht="22.5" customHeight="1">
      <c r="A35" s="27">
        <v>45821.30471506945</v>
      </c>
      <c r="B35" s="13" t="s">
        <v>342</v>
      </c>
      <c r="C35" s="13" t="s">
        <v>343</v>
      </c>
      <c r="D35" s="13" t="s">
        <v>344</v>
      </c>
      <c r="E35" s="14">
        <v>27696.0</v>
      </c>
      <c r="F35" s="13" t="s">
        <v>345</v>
      </c>
      <c r="G35" s="13" t="s">
        <v>74</v>
      </c>
      <c r="H35" s="13" t="s">
        <v>75</v>
      </c>
      <c r="I35" s="13" t="s">
        <v>346</v>
      </c>
      <c r="J35" s="13" t="s">
        <v>347</v>
      </c>
      <c r="K35" s="13"/>
      <c r="L35" s="13"/>
    </row>
    <row r="36" ht="22.5" customHeight="1">
      <c r="A36" s="27">
        <v>45821.410342256946</v>
      </c>
      <c r="B36" s="13" t="s">
        <v>348</v>
      </c>
      <c r="C36" s="13" t="s">
        <v>349</v>
      </c>
      <c r="D36" s="13" t="s">
        <v>187</v>
      </c>
      <c r="E36" s="14">
        <v>30249.0</v>
      </c>
      <c r="F36" s="13" t="s">
        <v>188</v>
      </c>
      <c r="G36" s="13" t="s">
        <v>350</v>
      </c>
      <c r="H36" s="13" t="s">
        <v>75</v>
      </c>
      <c r="I36" s="13" t="s">
        <v>351</v>
      </c>
      <c r="J36" s="13" t="s">
        <v>352</v>
      </c>
      <c r="K36" s="13"/>
      <c r="L36" s="13"/>
    </row>
    <row r="37" ht="22.5" customHeight="1">
      <c r="A37" s="27">
        <v>45824.42271518518</v>
      </c>
      <c r="B37" s="13" t="s">
        <v>353</v>
      </c>
      <c r="C37" s="13" t="s">
        <v>354</v>
      </c>
      <c r="D37" s="13" t="s">
        <v>89</v>
      </c>
      <c r="E37" s="14">
        <v>24068.0</v>
      </c>
      <c r="F37" s="13" t="s">
        <v>90</v>
      </c>
      <c r="G37" s="13" t="s">
        <v>350</v>
      </c>
      <c r="H37" s="13" t="s">
        <v>75</v>
      </c>
      <c r="I37" s="13" t="s">
        <v>355</v>
      </c>
      <c r="J37" s="13"/>
      <c r="K37" s="13"/>
      <c r="L37" s="13"/>
    </row>
    <row r="38" ht="22.5" customHeight="1">
      <c r="A38" s="27">
        <v>45825.45707446759</v>
      </c>
      <c r="B38" s="13" t="s">
        <v>18</v>
      </c>
      <c r="C38" s="13" t="s">
        <v>356</v>
      </c>
      <c r="D38" s="13" t="s">
        <v>20</v>
      </c>
      <c r="E38" s="14">
        <v>34644.0</v>
      </c>
      <c r="F38" s="13" t="s">
        <v>22</v>
      </c>
      <c r="G38" s="13" t="s">
        <v>357</v>
      </c>
      <c r="H38" s="13" t="s">
        <v>75</v>
      </c>
      <c r="I38" s="13" t="s">
        <v>358</v>
      </c>
      <c r="J38" s="13"/>
      <c r="K38" s="13"/>
      <c r="L38" s="13"/>
    </row>
    <row r="39" ht="22.5" customHeight="1">
      <c r="A39" s="27">
        <v>45825.459038182875</v>
      </c>
      <c r="B39" s="13" t="s">
        <v>359</v>
      </c>
      <c r="C39" s="13" t="s">
        <v>360</v>
      </c>
      <c r="D39" s="13" t="s">
        <v>361</v>
      </c>
      <c r="E39" s="14">
        <v>26853.0</v>
      </c>
      <c r="F39" s="13" t="s">
        <v>362</v>
      </c>
      <c r="G39" s="13" t="s">
        <v>340</v>
      </c>
      <c r="H39" s="13" t="s">
        <v>75</v>
      </c>
      <c r="I39" s="13" t="s">
        <v>363</v>
      </c>
      <c r="J39" s="13"/>
      <c r="K39" s="13"/>
      <c r="L39" s="13"/>
    </row>
    <row r="40" ht="22.5" customHeight="1">
      <c r="A40" s="27">
        <v>45825.45940472222</v>
      </c>
      <c r="B40" s="13" t="s">
        <v>169</v>
      </c>
      <c r="C40" s="13" t="s">
        <v>364</v>
      </c>
      <c r="D40" s="13" t="s">
        <v>171</v>
      </c>
      <c r="E40" s="14">
        <v>29502.0</v>
      </c>
      <c r="F40" s="13" t="s">
        <v>365</v>
      </c>
      <c r="G40" s="13" t="s">
        <v>357</v>
      </c>
      <c r="H40" s="13" t="s">
        <v>75</v>
      </c>
      <c r="I40" s="13" t="s">
        <v>366</v>
      </c>
      <c r="J40" s="13"/>
      <c r="K40" s="13"/>
      <c r="L40" s="13"/>
    </row>
    <row r="41" ht="22.5" customHeight="1">
      <c r="A41" s="27">
        <v>45825.49138129629</v>
      </c>
      <c r="B41" s="13" t="s">
        <v>110</v>
      </c>
      <c r="C41" s="13" t="s">
        <v>367</v>
      </c>
      <c r="D41" s="13" t="s">
        <v>112</v>
      </c>
      <c r="E41" s="14">
        <v>30267.0</v>
      </c>
      <c r="F41" s="13" t="s">
        <v>368</v>
      </c>
      <c r="G41" s="13" t="s">
        <v>357</v>
      </c>
      <c r="H41" s="13" t="s">
        <v>243</v>
      </c>
      <c r="I41" s="13"/>
      <c r="J41" s="13"/>
      <c r="K41" s="13" t="s">
        <v>369</v>
      </c>
      <c r="L41" s="13"/>
    </row>
    <row r="42" ht="22.5" customHeight="1">
      <c r="A42" s="27">
        <v>45825.61459719908</v>
      </c>
      <c r="B42" s="13" t="s">
        <v>182</v>
      </c>
      <c r="C42" s="13" t="s">
        <v>370</v>
      </c>
      <c r="D42" s="13" t="s">
        <v>184</v>
      </c>
      <c r="E42" s="14">
        <v>25882.0</v>
      </c>
      <c r="F42" s="13" t="s">
        <v>339</v>
      </c>
      <c r="G42" s="13" t="s">
        <v>340</v>
      </c>
      <c r="H42" s="13" t="s">
        <v>243</v>
      </c>
      <c r="I42" s="13"/>
      <c r="J42" s="13"/>
      <c r="K42" s="13" t="s">
        <v>371</v>
      </c>
      <c r="L42" s="13"/>
    </row>
    <row r="43" ht="22.5" customHeight="1">
      <c r="A43" s="27">
        <v>45825.61761252314</v>
      </c>
      <c r="B43" s="13" t="s">
        <v>107</v>
      </c>
      <c r="C43" s="13" t="s">
        <v>372</v>
      </c>
      <c r="D43" s="13" t="s">
        <v>109</v>
      </c>
      <c r="E43" s="14">
        <v>38133.0</v>
      </c>
      <c r="F43" s="13" t="s">
        <v>373</v>
      </c>
      <c r="G43" s="13" t="s">
        <v>374</v>
      </c>
      <c r="H43" s="13" t="s">
        <v>75</v>
      </c>
      <c r="I43" s="13" t="s">
        <v>375</v>
      </c>
      <c r="J43" s="13"/>
      <c r="K43" s="13"/>
      <c r="L43" s="13"/>
    </row>
    <row r="44" ht="22.5" customHeight="1">
      <c r="A44" s="27">
        <v>45825.62270266203</v>
      </c>
      <c r="B44" s="13" t="s">
        <v>220</v>
      </c>
      <c r="C44" s="13" t="s">
        <v>376</v>
      </c>
      <c r="D44" s="13" t="s">
        <v>222</v>
      </c>
      <c r="E44" s="14">
        <v>38133.0</v>
      </c>
      <c r="F44" s="13" t="s">
        <v>377</v>
      </c>
      <c r="G44" s="13" t="s">
        <v>374</v>
      </c>
      <c r="H44" s="13" t="s">
        <v>75</v>
      </c>
      <c r="I44" s="13" t="s">
        <v>378</v>
      </c>
      <c r="J44" s="13"/>
      <c r="K44" s="13"/>
      <c r="L44" s="13"/>
    </row>
    <row r="45" ht="22.5" customHeight="1">
      <c r="A45" s="27">
        <v>45825.626142175926</v>
      </c>
      <c r="B45" s="13" t="s">
        <v>159</v>
      </c>
      <c r="C45" s="13" t="s">
        <v>379</v>
      </c>
      <c r="D45" s="13" t="s">
        <v>161</v>
      </c>
      <c r="E45" s="14">
        <v>29016.0</v>
      </c>
      <c r="F45" s="13" t="s">
        <v>380</v>
      </c>
      <c r="G45" s="13" t="s">
        <v>374</v>
      </c>
      <c r="H45" s="13" t="s">
        <v>243</v>
      </c>
      <c r="I45" s="13"/>
      <c r="J45" s="13"/>
      <c r="K45" s="13" t="s">
        <v>381</v>
      </c>
      <c r="L45" s="13"/>
    </row>
    <row r="46" ht="22.5" customHeight="1">
      <c r="A46" s="27">
        <v>45826.69987671296</v>
      </c>
      <c r="B46" s="13" t="s">
        <v>179</v>
      </c>
      <c r="C46" s="13" t="s">
        <v>382</v>
      </c>
      <c r="D46" s="13" t="s">
        <v>181</v>
      </c>
      <c r="E46" s="14">
        <v>28454.0</v>
      </c>
      <c r="F46" s="13" t="s">
        <v>383</v>
      </c>
      <c r="G46" s="13" t="s">
        <v>374</v>
      </c>
      <c r="H46" s="13" t="s">
        <v>243</v>
      </c>
      <c r="I46" s="13"/>
      <c r="J46" s="13"/>
      <c r="K46" s="13" t="s">
        <v>384</v>
      </c>
      <c r="L46" s="13"/>
    </row>
    <row r="47" ht="22.5" customHeight="1">
      <c r="A47" s="27">
        <v>45831.356403275466</v>
      </c>
      <c r="B47" s="13" t="s">
        <v>385</v>
      </c>
      <c r="C47" s="13" t="s">
        <v>386</v>
      </c>
      <c r="D47" s="13" t="s">
        <v>135</v>
      </c>
      <c r="E47" s="14">
        <v>24163.0</v>
      </c>
      <c r="F47" s="13" t="s">
        <v>136</v>
      </c>
      <c r="G47" s="13" t="s">
        <v>310</v>
      </c>
      <c r="H47" s="13" t="s">
        <v>243</v>
      </c>
      <c r="I47" s="13"/>
      <c r="J47" s="13"/>
      <c r="K47" s="13" t="s">
        <v>244</v>
      </c>
      <c r="L47" s="13"/>
    </row>
    <row r="48" ht="22.5" customHeight="1">
      <c r="A48" s="27">
        <v>45831.39973480324</v>
      </c>
      <c r="B48" s="13" t="s">
        <v>49</v>
      </c>
      <c r="C48" s="13" t="s">
        <v>387</v>
      </c>
      <c r="D48" s="13" t="s">
        <v>51</v>
      </c>
      <c r="E48" s="14">
        <v>38145.0</v>
      </c>
      <c r="F48" s="13" t="s">
        <v>52</v>
      </c>
      <c r="G48" s="13" t="s">
        <v>388</v>
      </c>
      <c r="H48" s="13" t="s">
        <v>75</v>
      </c>
      <c r="I48" s="13" t="s">
        <v>389</v>
      </c>
      <c r="J48" s="13"/>
      <c r="K48" s="13"/>
      <c r="L48" s="13"/>
    </row>
    <row r="49" ht="22.5" customHeight="1">
      <c r="A49" s="27">
        <v>45831.48024359954</v>
      </c>
      <c r="B49" s="13" t="s">
        <v>94</v>
      </c>
      <c r="C49" s="13" t="s">
        <v>95</v>
      </c>
      <c r="D49" s="13" t="s">
        <v>96</v>
      </c>
      <c r="E49" s="14">
        <v>28797.0</v>
      </c>
      <c r="F49" s="13" t="s">
        <v>390</v>
      </c>
      <c r="G49" s="13" t="s">
        <v>74</v>
      </c>
      <c r="H49" s="13" t="s">
        <v>243</v>
      </c>
      <c r="I49" s="13"/>
      <c r="J49" s="13"/>
      <c r="K49" s="13" t="s">
        <v>391</v>
      </c>
      <c r="L49" s="13"/>
    </row>
    <row r="50" ht="22.5" customHeight="1">
      <c r="A50" s="27">
        <v>45831.750984513885</v>
      </c>
      <c r="B50" s="13" t="s">
        <v>56</v>
      </c>
      <c r="C50" s="13" t="s">
        <v>392</v>
      </c>
      <c r="D50" s="13" t="s">
        <v>58</v>
      </c>
      <c r="E50" s="14">
        <v>32228.0</v>
      </c>
      <c r="F50" s="13" t="s">
        <v>393</v>
      </c>
      <c r="G50" s="13" t="s">
        <v>340</v>
      </c>
      <c r="H50" s="13" t="s">
        <v>75</v>
      </c>
      <c r="I50" s="13" t="s">
        <v>394</v>
      </c>
      <c r="J50" s="13"/>
      <c r="K50" s="13"/>
      <c r="L50" s="13"/>
    </row>
    <row r="51" ht="22.5" customHeight="1">
      <c r="A51" s="27">
        <v>45832.342260219906</v>
      </c>
      <c r="B51" s="13" t="s">
        <v>395</v>
      </c>
      <c r="C51" s="13" t="s">
        <v>396</v>
      </c>
      <c r="D51" s="13" t="s">
        <v>397</v>
      </c>
      <c r="E51" s="14">
        <v>30589.0</v>
      </c>
      <c r="F51" s="13" t="s">
        <v>398</v>
      </c>
      <c r="G51" s="13" t="s">
        <v>388</v>
      </c>
      <c r="H51" s="13" t="s">
        <v>75</v>
      </c>
      <c r="I51" s="13" t="s">
        <v>399</v>
      </c>
      <c r="J51" s="13"/>
      <c r="K51" s="13"/>
      <c r="L51" s="13"/>
    </row>
    <row r="52" ht="22.5" customHeight="1">
      <c r="A52" s="27">
        <v>45832.36370202547</v>
      </c>
      <c r="B52" s="13" t="s">
        <v>53</v>
      </c>
      <c r="C52" s="13" t="s">
        <v>54</v>
      </c>
      <c r="D52" s="13" t="s">
        <v>55</v>
      </c>
      <c r="E52" s="14">
        <v>32218.0</v>
      </c>
      <c r="F52" s="13" t="s">
        <v>400</v>
      </c>
      <c r="G52" s="13" t="s">
        <v>357</v>
      </c>
      <c r="H52" s="13" t="s">
        <v>243</v>
      </c>
      <c r="I52" s="13"/>
      <c r="J52" s="13"/>
      <c r="K52" s="13" t="s">
        <v>250</v>
      </c>
      <c r="L52" s="13"/>
    </row>
    <row r="53" ht="22.5" customHeight="1">
      <c r="A53" s="27">
        <v>45832.38869037037</v>
      </c>
      <c r="B53" s="13" t="s">
        <v>401</v>
      </c>
      <c r="C53" s="13" t="s">
        <v>402</v>
      </c>
      <c r="D53" s="13" t="s">
        <v>174</v>
      </c>
      <c r="E53" s="14">
        <v>29099.0</v>
      </c>
      <c r="F53" s="13" t="s">
        <v>175</v>
      </c>
      <c r="G53" s="13" t="s">
        <v>388</v>
      </c>
      <c r="H53" s="13" t="s">
        <v>243</v>
      </c>
      <c r="I53" s="13"/>
      <c r="J53" s="13"/>
      <c r="K53" s="13" t="s">
        <v>403</v>
      </c>
      <c r="L53" s="13"/>
    </row>
    <row r="54" ht="22.5" customHeight="1">
      <c r="A54" s="27">
        <v>45832.41203028936</v>
      </c>
      <c r="B54" s="13" t="s">
        <v>143</v>
      </c>
      <c r="C54" s="13" t="s">
        <v>404</v>
      </c>
      <c r="D54" s="13" t="s">
        <v>145</v>
      </c>
      <c r="E54" s="14">
        <v>29455.0</v>
      </c>
      <c r="F54" s="13" t="s">
        <v>405</v>
      </c>
      <c r="G54" s="13" t="s">
        <v>340</v>
      </c>
      <c r="H54" s="13" t="s">
        <v>243</v>
      </c>
      <c r="I54" s="13"/>
      <c r="J54" s="13"/>
      <c r="K54" s="13" t="s">
        <v>406</v>
      </c>
      <c r="L54" s="13"/>
    </row>
    <row r="55" ht="22.5" customHeight="1">
      <c r="A55" s="27">
        <v>45832.48409092592</v>
      </c>
      <c r="B55" s="13" t="s">
        <v>407</v>
      </c>
      <c r="C55" s="13" t="s">
        <v>408</v>
      </c>
      <c r="D55" s="13" t="s">
        <v>151</v>
      </c>
      <c r="E55" s="14">
        <v>34437.0</v>
      </c>
      <c r="F55" s="13" t="s">
        <v>409</v>
      </c>
      <c r="G55" s="13" t="s">
        <v>104</v>
      </c>
      <c r="H55" s="13" t="s">
        <v>243</v>
      </c>
      <c r="I55" s="13"/>
      <c r="J55" s="13"/>
      <c r="K55" s="13" t="s">
        <v>410</v>
      </c>
      <c r="L55" s="13"/>
    </row>
    <row r="56" ht="22.5" customHeight="1">
      <c r="A56" s="27">
        <v>45832.74247134259</v>
      </c>
      <c r="B56" s="13" t="s">
        <v>193</v>
      </c>
      <c r="C56" s="13" t="s">
        <v>194</v>
      </c>
      <c r="D56" s="13" t="s">
        <v>195</v>
      </c>
      <c r="E56" s="14">
        <v>37484.0</v>
      </c>
      <c r="F56" s="13" t="s">
        <v>411</v>
      </c>
      <c r="G56" s="13" t="s">
        <v>310</v>
      </c>
      <c r="H56" s="13" t="s">
        <v>75</v>
      </c>
      <c r="I56" s="13" t="s">
        <v>412</v>
      </c>
      <c r="J56" s="13"/>
      <c r="K56" s="13"/>
      <c r="L56" s="13"/>
    </row>
    <row r="57" ht="22.5" customHeight="1">
      <c r="A57" s="28">
        <v>45833.63042945602</v>
      </c>
      <c r="B57" s="29" t="s">
        <v>153</v>
      </c>
      <c r="C57" s="29" t="s">
        <v>413</v>
      </c>
      <c r="D57" s="29" t="s">
        <v>155</v>
      </c>
      <c r="E57" s="30">
        <v>32554.0</v>
      </c>
      <c r="F57" s="29" t="s">
        <v>156</v>
      </c>
      <c r="G57" s="29" t="s">
        <v>350</v>
      </c>
      <c r="H57" s="29" t="s">
        <v>243</v>
      </c>
      <c r="I57" s="31"/>
      <c r="J57" s="31"/>
      <c r="K57" s="29" t="s">
        <v>414</v>
      </c>
      <c r="L57" s="31"/>
    </row>
    <row r="58" ht="22.5" customHeight="1">
      <c r="A58" s="32">
        <v>45833.68283777778</v>
      </c>
      <c r="B58" s="33" t="s">
        <v>415</v>
      </c>
      <c r="C58" s="33" t="s">
        <v>416</v>
      </c>
      <c r="D58" s="33" t="s">
        <v>417</v>
      </c>
      <c r="E58" s="34">
        <v>27102.0</v>
      </c>
      <c r="F58" s="33" t="s">
        <v>418</v>
      </c>
      <c r="G58" s="33" t="s">
        <v>296</v>
      </c>
      <c r="H58" s="33" t="s">
        <v>75</v>
      </c>
      <c r="I58" s="33" t="s">
        <v>419</v>
      </c>
      <c r="J58" s="35"/>
      <c r="K58" s="35"/>
      <c r="L58" s="35"/>
    </row>
    <row r="59" ht="22.5" customHeight="1">
      <c r="A59" s="36">
        <v>45833.70134462963</v>
      </c>
      <c r="B59" s="37" t="s">
        <v>45</v>
      </c>
      <c r="C59" s="37" t="s">
        <v>420</v>
      </c>
      <c r="D59" s="37" t="s">
        <v>47</v>
      </c>
      <c r="E59" s="38">
        <v>36982.0</v>
      </c>
      <c r="F59" s="37" t="s">
        <v>48</v>
      </c>
      <c r="G59" s="37" t="s">
        <v>421</v>
      </c>
      <c r="H59" s="37" t="s">
        <v>75</v>
      </c>
      <c r="I59" s="37" t="s">
        <v>422</v>
      </c>
      <c r="J59" s="39"/>
      <c r="K59" s="39"/>
      <c r="L59" s="39"/>
    </row>
  </sheetData>
  <drawing r:id="rId2"/>
  <legacyDrawing r:id="rId3"/>
  <tableParts count="1">
    <tablePart r:id="rId5"/>
  </tableParts>
</worksheet>
</file>